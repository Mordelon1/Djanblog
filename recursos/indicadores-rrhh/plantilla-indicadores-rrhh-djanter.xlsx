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 mensuales" sheetId="2" state="visible" r:id="rId2"/>
    <sheet xmlns:r="http://schemas.openxmlformats.org/officeDocument/2006/relationships" name="Resumen anual" sheetId="3" state="visible" r:id="rId3"/>
    <sheet xmlns:r="http://schemas.openxmlformats.org/officeDocument/2006/relationships"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C3A4E"/>
      <sz val="15"/>
    </font>
    <font>
      <i val="1"/>
      <color rgb="005A6B75"/>
    </font>
    <font>
      <b val="1"/>
      <color rgb="001C3A4E"/>
    </font>
    <font>
      <b val="1"/>
      <color rgb="00FFFFFF"/>
    </font>
    <font>
      <b val="1"/>
    </font>
    <font>
      <i val="1"/>
      <color rgb="008A5A2B"/>
    </font>
  </fonts>
  <fills count="4">
    <fill>
      <patternFill/>
    </fill>
    <fill>
      <patternFill patternType="gray125"/>
    </fill>
    <fill>
      <patternFill patternType="solid">
        <fgColor rgb="001C3A4E"/>
      </patternFill>
    </fill>
    <fill>
      <patternFill patternType="solid">
        <fgColor rgb="00EEF2F4"/>
      </patternFill>
    </fill>
  </fills>
  <borders count="2">
    <border>
      <left/>
      <right/>
      <top/>
      <bottom/>
      <diagonal/>
    </border>
    <border>
      <left style="thin">
        <color rgb="00C9D3D9"/>
      </left>
      <right style="thin">
        <color rgb="00C9D3D9"/>
      </right>
      <top style="thin">
        <color rgb="00C9D3D9"/>
      </top>
      <bottom style="thin">
        <color rgb="00C9D3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6" fillId="0" borderId="0" pivotButton="0" quotePrefix="0" xfId="0"/>
    <xf numFmtId="1" fontId="0" fillId="3" borderId="1" pivotButton="0" quotePrefix="0" xfId="0"/>
    <xf numFmtId="2" fontId="0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Plantilla de indicadores de RR.HH. — Djanter Capital</t>
        </is>
      </c>
    </row>
    <row r="2">
      <c r="A2" s="2" t="inlineStr">
        <is>
          <t>Gratuita. djantercapital.cl/recursos/indicadores-rrhh/</t>
        </is>
      </c>
    </row>
    <row r="4">
      <c r="A4" s="3" t="inlineStr">
        <is>
          <t>Cómo se usa</t>
        </is>
      </c>
      <c r="B4" s="4" t="inlineStr"/>
    </row>
    <row r="5">
      <c r="A5" s="3" t="inlineStr">
        <is>
          <t>1</t>
        </is>
      </c>
      <c r="B5" s="4" t="inlineStr">
        <is>
          <t>Ve a la hoja 'Datos mensuales' y completa SOLO las columnas blancas (B a J) de cada mes.</t>
        </is>
      </c>
    </row>
    <row r="6">
      <c r="A6" s="3" t="inlineStr">
        <is>
          <t>2</t>
        </is>
      </c>
      <c r="B6" s="4" t="inlineStr">
        <is>
          <t>Las columnas grises (K a R) se calculan solas. No las edites.</t>
        </is>
      </c>
    </row>
    <row r="7">
      <c r="A7" s="3" t="inlineStr">
        <is>
          <t>3</t>
        </is>
      </c>
      <c r="B7" s="4" t="inlineStr">
        <is>
          <t>La hoja 'Resumen anual' calcula los indicadores del año completo.</t>
        </is>
      </c>
    </row>
    <row r="8">
      <c r="A8" s="3" t="inlineStr">
        <is>
          <t>4</t>
        </is>
      </c>
      <c r="B8" s="4" t="inlineStr">
        <is>
          <t>La hoja 'Diccionario' explica cada indicador. Anota ahí también de dónde sacas cada dato.</t>
        </is>
      </c>
    </row>
    <row r="9">
      <c r="A9" s="3" t="inlineStr"/>
      <c r="B9" s="4" t="inlineStr"/>
    </row>
    <row r="10">
      <c r="A10" s="3" t="inlineStr">
        <is>
          <t>De dónde sacar los datos</t>
        </is>
      </c>
      <c r="B10" s="4" t="inlineStr"/>
    </row>
    <row r="11">
      <c r="A11" s="3" t="inlineStr">
        <is>
          <t>Dotación</t>
        </is>
      </c>
      <c r="B11" s="4" t="inlineStr">
        <is>
          <t>Libro de remuneraciones: personas con contrato vigente el primer y el último día del mes.</t>
        </is>
      </c>
    </row>
    <row r="12">
      <c r="A12" s="3" t="inlineStr">
        <is>
          <t>Ingresos / egresos</t>
        </is>
      </c>
      <c r="B12" s="4" t="inlineStr">
        <is>
          <t>Contratos y finiquitos del mes. Renuncias = causal art. 159 n.º 2.</t>
        </is>
      </c>
    </row>
    <row r="13">
      <c r="A13" s="3" t="inlineStr">
        <is>
          <t>Egresos &lt; 90 días</t>
        </is>
      </c>
      <c r="B13" s="4" t="inlineStr">
        <is>
          <t>Egresos del mes cuya fecha de ingreso fue hace menos de 90 días.</t>
        </is>
      </c>
    </row>
    <row r="14">
      <c r="A14" s="3" t="inlineStr">
        <is>
          <t>Días hábiles</t>
        </is>
      </c>
      <c r="B14" s="4" t="inlineStr">
        <is>
          <t>Días hábiles del mes por persona (por ejemplo, 21).</t>
        </is>
      </c>
    </row>
    <row r="15">
      <c r="A15" s="3" t="inlineStr">
        <is>
          <t>Días perdidos</t>
        </is>
      </c>
      <c r="B15" s="4" t="inlineStr">
        <is>
          <t>Días hábiles de licencias médicas y otras ausencias del mes.</t>
        </is>
      </c>
    </row>
    <row r="16">
      <c r="A16" s="3" t="inlineStr"/>
      <c r="B16" s="4" t="inlineStr"/>
    </row>
    <row r="17">
      <c r="A17" s="3" t="inlineStr">
        <is>
          <t>Privacidad</t>
        </is>
      </c>
      <c r="B17" s="4" t="inlineStr">
        <is>
          <t>La plantilla trabaja con totales. Las licencias médicas son datos sensibles (Ley 19.628): no registres nombres ni diagnósticos.</t>
        </is>
      </c>
    </row>
    <row r="18">
      <c r="A18" s="3" t="inlineStr">
        <is>
          <t>Fuentes</t>
        </is>
      </c>
      <c r="B18" s="4" t="inlineStr">
        <is>
          <t>Definiciones de ausentismo, frecuencia y gravedad: DIPRES (2024) y Servicio Civil (2025).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48" customHeight="1">
      <c r="A1" s="5" t="inlineStr">
        <is>
          <t>Mes</t>
        </is>
      </c>
      <c r="B1" s="5" t="inlineStr">
        <is>
          <t>Dotación al inicio</t>
        </is>
      </c>
      <c r="C1" s="5" t="inlineStr">
        <is>
          <t>Dotación al final</t>
        </is>
      </c>
      <c r="D1" s="5" t="inlineStr">
        <is>
          <t>Ingresos</t>
        </is>
      </c>
      <c r="E1" s="5" t="inlineStr">
        <is>
          <t>Egresos totales</t>
        </is>
      </c>
      <c r="F1" s="5" t="inlineStr">
        <is>
          <t>Renuncias</t>
        </is>
      </c>
      <c r="G1" s="5" t="inlineStr">
        <is>
          <t>Egresos &lt; 90 días</t>
        </is>
      </c>
      <c r="H1" s="5" t="inlineStr">
        <is>
          <t>Días hábiles por persona</t>
        </is>
      </c>
      <c r="I1" s="5" t="inlineStr">
        <is>
          <t>Días perdidos</t>
        </is>
      </c>
      <c r="J1" s="5" t="inlineStr">
        <is>
          <t>N.º licencias médicas</t>
        </is>
      </c>
      <c r="K1" s="5" t="inlineStr">
        <is>
          <t>Horas extra</t>
        </is>
      </c>
      <c r="L1" s="5" t="inlineStr">
        <is>
          <t>Dotación promedio</t>
        </is>
      </c>
      <c r="M1" s="5" t="inlineStr">
        <is>
          <t>Tasa de rotación</t>
        </is>
      </c>
      <c r="N1" s="5" t="inlineStr">
        <is>
          <t>Rotación voluntaria</t>
        </is>
      </c>
      <c r="O1" s="5" t="inlineStr">
        <is>
          <t>Rotación temprana (% egresos)</t>
        </is>
      </c>
      <c r="P1" s="5" t="inlineStr">
        <is>
          <t>Tasa de ausentismo</t>
        </is>
      </c>
      <c r="Q1" s="5" t="inlineStr">
        <is>
          <t>Índice de frecuencia</t>
        </is>
      </c>
      <c r="R1" s="5" t="inlineStr">
        <is>
          <t>Índice de gravedad</t>
        </is>
      </c>
      <c r="S1" s="5" t="inlineStr">
        <is>
          <t>Horas extra por trabajador</t>
        </is>
      </c>
    </row>
    <row r="2">
      <c r="A2" s="6" t="inlineStr">
        <is>
          <t>Enero</t>
        </is>
      </c>
      <c r="B2" s="7" t="n">
        <v>46</v>
      </c>
      <c r="C2" s="7" t="n">
        <v>47</v>
      </c>
      <c r="D2" s="7" t="n">
        <v>3</v>
      </c>
      <c r="E2" s="7" t="n">
        <v>2</v>
      </c>
      <c r="F2" s="7" t="n">
        <v>1</v>
      </c>
      <c r="G2" s="7" t="n">
        <v>1</v>
      </c>
      <c r="H2" s="7" t="n">
        <v>21</v>
      </c>
      <c r="I2" s="7" t="n">
        <v>44</v>
      </c>
      <c r="J2" s="7" t="n">
        <v>5</v>
      </c>
      <c r="K2" s="7" t="n">
        <v>30</v>
      </c>
      <c r="L2" s="8">
        <f>IF(COUNT(B2:C2)=2,(B2+C2)/2,"")</f>
        <v/>
      </c>
      <c r="M2" s="9">
        <f>IFERROR(E2/L2,"")</f>
        <v/>
      </c>
      <c r="N2" s="9">
        <f>IFERROR(F2/L2,"")</f>
        <v/>
      </c>
      <c r="O2" s="9">
        <f>IFERROR(G2/E2,"")</f>
        <v/>
      </c>
      <c r="P2" s="9">
        <f>IFERROR(I2/(L2*H2),"")</f>
        <v/>
      </c>
      <c r="Q2" s="8">
        <f>IFERROR(J2/L2,"")</f>
        <v/>
      </c>
      <c r="R2" s="8">
        <f>IFERROR(I2/J2,"")</f>
        <v/>
      </c>
      <c r="S2" s="8">
        <f>IFERROR(K2/L2,"")</f>
        <v/>
      </c>
    </row>
    <row r="3">
      <c r="A3" s="6" t="inlineStr">
        <is>
          <t>Febrero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8">
        <f>IF(COUNT(B3:C3)=2,(B3+C3)/2,"")</f>
        <v/>
      </c>
      <c r="M3" s="9">
        <f>IFERROR(E3/L3,"")</f>
        <v/>
      </c>
      <c r="N3" s="9">
        <f>IFERROR(F3/L3,"")</f>
        <v/>
      </c>
      <c r="O3" s="9">
        <f>IFERROR(G3/E3,"")</f>
        <v/>
      </c>
      <c r="P3" s="9">
        <f>IFERROR(I3/(L3*H3),"")</f>
        <v/>
      </c>
      <c r="Q3" s="8">
        <f>IFERROR(J3/L3,"")</f>
        <v/>
      </c>
      <c r="R3" s="8">
        <f>IFERROR(I3/J3,"")</f>
        <v/>
      </c>
      <c r="S3" s="8">
        <f>IFERROR(K3/L3,"")</f>
        <v/>
      </c>
    </row>
    <row r="4">
      <c r="A4" s="6" t="inlineStr">
        <is>
          <t>Marzo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8">
        <f>IF(COUNT(B4:C4)=2,(B4+C4)/2,"")</f>
        <v/>
      </c>
      <c r="M4" s="9">
        <f>IFERROR(E4/L4,"")</f>
        <v/>
      </c>
      <c r="N4" s="9">
        <f>IFERROR(F4/L4,"")</f>
        <v/>
      </c>
      <c r="O4" s="9">
        <f>IFERROR(G4/E4,"")</f>
        <v/>
      </c>
      <c r="P4" s="9">
        <f>IFERROR(I4/(L4*H4),"")</f>
        <v/>
      </c>
      <c r="Q4" s="8">
        <f>IFERROR(J4/L4,"")</f>
        <v/>
      </c>
      <c r="R4" s="8">
        <f>IFERROR(I4/J4,"")</f>
        <v/>
      </c>
      <c r="S4" s="8">
        <f>IFERROR(K4/L4,"")</f>
        <v/>
      </c>
    </row>
    <row r="5">
      <c r="A5" s="6" t="inlineStr">
        <is>
          <t>Abril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8">
        <f>IF(COUNT(B5:C5)=2,(B5+C5)/2,"")</f>
        <v/>
      </c>
      <c r="M5" s="9">
        <f>IFERROR(E5/L5,"")</f>
        <v/>
      </c>
      <c r="N5" s="9">
        <f>IFERROR(F5/L5,"")</f>
        <v/>
      </c>
      <c r="O5" s="9">
        <f>IFERROR(G5/E5,"")</f>
        <v/>
      </c>
      <c r="P5" s="9">
        <f>IFERROR(I5/(L5*H5),"")</f>
        <v/>
      </c>
      <c r="Q5" s="8">
        <f>IFERROR(J5/L5,"")</f>
        <v/>
      </c>
      <c r="R5" s="8">
        <f>IFERROR(I5/J5,"")</f>
        <v/>
      </c>
      <c r="S5" s="8">
        <f>IFERROR(K5/L5,"")</f>
        <v/>
      </c>
    </row>
    <row r="6">
      <c r="A6" s="6" t="inlineStr">
        <is>
          <t>Mayo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>
        <f>IF(COUNT(B6:C6)=2,(B6+C6)/2,"")</f>
        <v/>
      </c>
      <c r="M6" s="9">
        <f>IFERROR(E6/L6,"")</f>
        <v/>
      </c>
      <c r="N6" s="9">
        <f>IFERROR(F6/L6,"")</f>
        <v/>
      </c>
      <c r="O6" s="9">
        <f>IFERROR(G6/E6,"")</f>
        <v/>
      </c>
      <c r="P6" s="9">
        <f>IFERROR(I6/(L6*H6),"")</f>
        <v/>
      </c>
      <c r="Q6" s="8">
        <f>IFERROR(J6/L6,"")</f>
        <v/>
      </c>
      <c r="R6" s="8">
        <f>IFERROR(I6/J6,"")</f>
        <v/>
      </c>
      <c r="S6" s="8">
        <f>IFERROR(K6/L6,"")</f>
        <v/>
      </c>
    </row>
    <row r="7">
      <c r="A7" s="6" t="inlineStr">
        <is>
          <t>Junio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>
        <f>IF(COUNT(B7:C7)=2,(B7+C7)/2,"")</f>
        <v/>
      </c>
      <c r="M7" s="9">
        <f>IFERROR(E7/L7,"")</f>
        <v/>
      </c>
      <c r="N7" s="9">
        <f>IFERROR(F7/L7,"")</f>
        <v/>
      </c>
      <c r="O7" s="9">
        <f>IFERROR(G7/E7,"")</f>
        <v/>
      </c>
      <c r="P7" s="9">
        <f>IFERROR(I7/(L7*H7),"")</f>
        <v/>
      </c>
      <c r="Q7" s="8">
        <f>IFERROR(J7/L7,"")</f>
        <v/>
      </c>
      <c r="R7" s="8">
        <f>IFERROR(I7/J7,"")</f>
        <v/>
      </c>
      <c r="S7" s="8">
        <f>IFERROR(K7/L7,"")</f>
        <v/>
      </c>
    </row>
    <row r="8">
      <c r="A8" s="6" t="inlineStr">
        <is>
          <t>Julio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>
        <f>IF(COUNT(B8:C8)=2,(B8+C8)/2,"")</f>
        <v/>
      </c>
      <c r="M8" s="9">
        <f>IFERROR(E8/L8,"")</f>
        <v/>
      </c>
      <c r="N8" s="9">
        <f>IFERROR(F8/L8,"")</f>
        <v/>
      </c>
      <c r="O8" s="9">
        <f>IFERROR(G8/E8,"")</f>
        <v/>
      </c>
      <c r="P8" s="9">
        <f>IFERROR(I8/(L8*H8),"")</f>
        <v/>
      </c>
      <c r="Q8" s="8">
        <f>IFERROR(J8/L8,"")</f>
        <v/>
      </c>
      <c r="R8" s="8">
        <f>IFERROR(I8/J8,"")</f>
        <v/>
      </c>
      <c r="S8" s="8">
        <f>IFERROR(K8/L8,"")</f>
        <v/>
      </c>
    </row>
    <row r="9">
      <c r="A9" s="6" t="inlineStr">
        <is>
          <t>Agosto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>
        <f>IF(COUNT(B9:C9)=2,(B9+C9)/2,"")</f>
        <v/>
      </c>
      <c r="M9" s="9">
        <f>IFERROR(E9/L9,"")</f>
        <v/>
      </c>
      <c r="N9" s="9">
        <f>IFERROR(F9/L9,"")</f>
        <v/>
      </c>
      <c r="O9" s="9">
        <f>IFERROR(G9/E9,"")</f>
        <v/>
      </c>
      <c r="P9" s="9">
        <f>IFERROR(I9/(L9*H9),"")</f>
        <v/>
      </c>
      <c r="Q9" s="8">
        <f>IFERROR(J9/L9,"")</f>
        <v/>
      </c>
      <c r="R9" s="8">
        <f>IFERROR(I9/J9,"")</f>
        <v/>
      </c>
      <c r="S9" s="8">
        <f>IFERROR(K9/L9,"")</f>
        <v/>
      </c>
    </row>
    <row r="10">
      <c r="A10" s="6" t="inlineStr">
        <is>
          <t>Septiembre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>
        <f>IF(COUNT(B10:C10)=2,(B10+C10)/2,"")</f>
        <v/>
      </c>
      <c r="M10" s="9">
        <f>IFERROR(E10/L10,"")</f>
        <v/>
      </c>
      <c r="N10" s="9">
        <f>IFERROR(F10/L10,"")</f>
        <v/>
      </c>
      <c r="O10" s="9">
        <f>IFERROR(G10/E10,"")</f>
        <v/>
      </c>
      <c r="P10" s="9">
        <f>IFERROR(I10/(L10*H10),"")</f>
        <v/>
      </c>
      <c r="Q10" s="8">
        <f>IFERROR(J10/L10,"")</f>
        <v/>
      </c>
      <c r="R10" s="8">
        <f>IFERROR(I10/J10,"")</f>
        <v/>
      </c>
      <c r="S10" s="8">
        <f>IFERROR(K10/L10,"")</f>
        <v/>
      </c>
    </row>
    <row r="11">
      <c r="A11" s="6" t="inlineStr">
        <is>
          <t>Octubre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8">
        <f>IF(COUNT(B11:C11)=2,(B11+C11)/2,"")</f>
        <v/>
      </c>
      <c r="M11" s="9">
        <f>IFERROR(E11/L11,"")</f>
        <v/>
      </c>
      <c r="N11" s="9">
        <f>IFERROR(F11/L11,"")</f>
        <v/>
      </c>
      <c r="O11" s="9">
        <f>IFERROR(G11/E11,"")</f>
        <v/>
      </c>
      <c r="P11" s="9">
        <f>IFERROR(I11/(L11*H11),"")</f>
        <v/>
      </c>
      <c r="Q11" s="8">
        <f>IFERROR(J11/L11,"")</f>
        <v/>
      </c>
      <c r="R11" s="8">
        <f>IFERROR(I11/J11,"")</f>
        <v/>
      </c>
      <c r="S11" s="8">
        <f>IFERROR(K11/L11,"")</f>
        <v/>
      </c>
    </row>
    <row r="12">
      <c r="A12" s="6" t="inlineStr">
        <is>
          <t>Noviembre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8">
        <f>IF(COUNT(B12:C12)=2,(B12+C12)/2,"")</f>
        <v/>
      </c>
      <c r="M12" s="9">
        <f>IFERROR(E12/L12,"")</f>
        <v/>
      </c>
      <c r="N12" s="9">
        <f>IFERROR(F12/L12,"")</f>
        <v/>
      </c>
      <c r="O12" s="9">
        <f>IFERROR(G12/E12,"")</f>
        <v/>
      </c>
      <c r="P12" s="9">
        <f>IFERROR(I12/(L12*H12),"")</f>
        <v/>
      </c>
      <c r="Q12" s="8">
        <f>IFERROR(J12/L12,"")</f>
        <v/>
      </c>
      <c r="R12" s="8">
        <f>IFERROR(I12/J12,"")</f>
        <v/>
      </c>
      <c r="S12" s="8">
        <f>IFERROR(K12/L12,"")</f>
        <v/>
      </c>
    </row>
    <row r="13">
      <c r="A13" s="6" t="inlineStr">
        <is>
          <t>Diciembre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>
        <f>IF(COUNT(B13:C13)=2,(B13+C13)/2,"")</f>
        <v/>
      </c>
      <c r="M13" s="9">
        <f>IFERROR(E13/L13,"")</f>
        <v/>
      </c>
      <c r="N13" s="9">
        <f>IFERROR(F13/L13,"")</f>
        <v/>
      </c>
      <c r="O13" s="9">
        <f>IFERROR(G13/E13,"")</f>
        <v/>
      </c>
      <c r="P13" s="9">
        <f>IFERROR(I13/(L13*H13),"")</f>
        <v/>
      </c>
      <c r="Q13" s="8">
        <f>IFERROR(J13/L13,"")</f>
        <v/>
      </c>
      <c r="R13" s="8">
        <f>IFERROR(I13/J13,"")</f>
        <v/>
      </c>
      <c r="S13" s="8">
        <f>IFERROR(K13/L13,"")</f>
        <v/>
      </c>
    </row>
    <row r="15">
      <c r="A15" s="10" t="inlineStr">
        <is>
          <t>Ejemplo: la fila de enero trae datos inventados para mostrar el cálculo. Bórralos y escribe los tuyos.</t>
        </is>
      </c>
    </row>
  </sheetData>
  <dataValidations count="1">
    <dataValidation sqref="B2:K13" showDropDown="0" showInputMessage="0" showErrorMessage="0" allowBlank="1" errorTitle="Dato no válido" error="Ingresa un número mayor o igual a 0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Resumen anual</t>
        </is>
      </c>
    </row>
    <row r="2">
      <c r="A2" s="2" t="inlineStr">
        <is>
          <t>Se calcula con los meses que tengan datos.</t>
        </is>
      </c>
    </row>
    <row r="4">
      <c r="A4" s="3" t="inlineStr">
        <is>
          <t>Dotación promedio anual</t>
        </is>
      </c>
      <c r="B4" s="8">
        <f>IFERROR(AVERAGE('Datos mensuales'!L2:L13),"")</f>
        <v/>
      </c>
    </row>
    <row r="5">
      <c r="A5" s="3" t="inlineStr">
        <is>
          <t>Ingresos del año</t>
        </is>
      </c>
      <c r="B5" s="11">
        <f>SUM('Datos mensuales'!D2:D13)</f>
        <v/>
      </c>
    </row>
    <row r="6">
      <c r="A6" s="3" t="inlineStr">
        <is>
          <t>Egresos del año</t>
        </is>
      </c>
      <c r="B6" s="11">
        <f>SUM('Datos mensuales'!E2:E13)</f>
        <v/>
      </c>
    </row>
    <row r="7">
      <c r="A7" s="3" t="inlineStr">
        <is>
          <t>Renuncias del año</t>
        </is>
      </c>
      <c r="B7" s="11">
        <f>SUM('Datos mensuales'!F2:F13)</f>
        <v/>
      </c>
    </row>
    <row r="8">
      <c r="A8" s="3" t="inlineStr">
        <is>
          <t>Tasa de rotación anual</t>
        </is>
      </c>
      <c r="B8" s="9">
        <f>IFERROR(B6/B4,"")</f>
        <v/>
      </c>
    </row>
    <row r="9">
      <c r="A9" s="3" t="inlineStr">
        <is>
          <t>Rotación voluntaria anual</t>
        </is>
      </c>
      <c r="B9" s="9">
        <f>IFERROR(B7/B4,"")</f>
        <v/>
      </c>
    </row>
    <row r="10">
      <c r="A10" s="3" t="inlineStr">
        <is>
          <t>Rotación temprana (% de egresos)</t>
        </is>
      </c>
      <c r="B10" s="9">
        <f>IFERROR(SUM('Datos mensuales'!G2:G13)/B6,"")</f>
        <v/>
      </c>
    </row>
    <row r="11">
      <c r="A11" s="3" t="inlineStr">
        <is>
          <t>Días perdidos del año</t>
        </is>
      </c>
      <c r="B11" s="11">
        <f>SUM('Datos mensuales'!I2:I13)</f>
        <v/>
      </c>
    </row>
    <row r="12">
      <c r="A12" s="3" t="inlineStr">
        <is>
          <t>Tasa de ausentismo anual</t>
        </is>
      </c>
      <c r="B12" s="9">
        <f>IFERROR(B11/SUMPRODUCT('Datos mensuales'!L2:L13,'Datos mensuales'!H2:H13),"")</f>
        <v/>
      </c>
    </row>
    <row r="13">
      <c r="A13" s="3" t="inlineStr">
        <is>
          <t>Días perdidos por trabajador</t>
        </is>
      </c>
      <c r="B13" s="8">
        <f>IFERROR(B11/B4,"")</f>
        <v/>
      </c>
    </row>
    <row r="14">
      <c r="A14" s="3" t="inlineStr">
        <is>
          <t>Índice de frecuencia anual (licencias por trabajador)</t>
        </is>
      </c>
      <c r="B14" s="12">
        <f>IFERROR(SUM('Datos mensuales'!J2:J13)/B4,"")</f>
        <v/>
      </c>
    </row>
    <row r="15">
      <c r="A15" s="3" t="inlineStr">
        <is>
          <t>Índice de gravedad anual (días por licencia)</t>
        </is>
      </c>
      <c r="B15" s="8">
        <f>IFERROR(B11/SUM('Datos mensuales'!J2:J13),"")</f>
        <v/>
      </c>
    </row>
    <row r="16">
      <c r="A16" s="3" t="inlineStr">
        <is>
          <t>Meses con datos</t>
        </is>
      </c>
      <c r="B16" s="11">
        <f>COUNT('Datos mensuales'!L2:L13)</f>
        <v/>
      </c>
    </row>
    <row r="18">
      <c r="A18" s="2" t="inlineStr">
        <is>
          <t>Nota: la rotación anual suma los egresos de los meses con datos. Si tienes menos de 12 meses, no es una tasa anual completa.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0" customWidth="1" min="3" max="3"/>
    <col width="36" customWidth="1" min="4" max="4"/>
  </cols>
  <sheetData>
    <row r="1" ht="48" customHeight="1">
      <c r="A1" s="5" t="inlineStr">
        <is>
          <t>Indicador</t>
        </is>
      </c>
      <c r="B1" s="5" t="inlineStr">
        <is>
          <t>Fórmula</t>
        </is>
      </c>
      <c r="C1" s="5" t="inlineStr">
        <is>
          <t>Qué pregunta responde</t>
        </is>
      </c>
      <c r="D1" s="5" t="inlineStr">
        <is>
          <t>Fuente del dato (complétala)</t>
        </is>
      </c>
    </row>
    <row r="2">
      <c r="A2" s="13" t="inlineStr">
        <is>
          <t>Dotación promedio</t>
        </is>
      </c>
      <c r="B2" s="13" t="inlineStr">
        <is>
          <t>(dotación inicio + dotación final) / 2</t>
        </is>
      </c>
      <c r="C2" s="13" t="inlineStr">
        <is>
          <t>¿Con cuánta gente trabajamos en el período?</t>
        </is>
      </c>
      <c r="D2" s="7" t="n"/>
    </row>
    <row r="3">
      <c r="A3" s="13" t="inlineStr">
        <is>
          <t>Tasa de rotación</t>
        </is>
      </c>
      <c r="B3" s="13" t="inlineStr">
        <is>
          <t>egresos / dotación promedio</t>
        </is>
      </c>
      <c r="C3" s="13" t="inlineStr">
        <is>
          <t>¿Qué proporción del equipo hubo que reemplazar?</t>
        </is>
      </c>
      <c r="D3" s="7" t="n"/>
    </row>
    <row r="4">
      <c r="A4" s="13" t="inlineStr">
        <is>
          <t>Rotación voluntaria</t>
        </is>
      </c>
      <c r="B4" s="13" t="inlineStr">
        <is>
          <t>renuncias / dotación promedio</t>
        </is>
      </c>
      <c r="C4" s="13" t="inlineStr">
        <is>
          <t>¿Cuánta gente decide irse?</t>
        </is>
      </c>
      <c r="D4" s="7" t="n"/>
    </row>
    <row r="5">
      <c r="A5" s="13" t="inlineStr">
        <is>
          <t>Rotación temprana</t>
        </is>
      </c>
      <c r="B5" s="13" t="inlineStr">
        <is>
          <t>egresos &lt; 90 días / egresos</t>
        </is>
      </c>
      <c r="C5" s="13" t="inlineStr">
        <is>
          <t>¿Fallan el perfil, la selección o la inducción?</t>
        </is>
      </c>
      <c r="D5" s="7" t="n"/>
    </row>
    <row r="6">
      <c r="A6" s="13" t="inlineStr">
        <is>
          <t>Tasa de ausentismo</t>
        </is>
      </c>
      <c r="B6" s="13" t="inlineStr">
        <is>
          <t>días perdidos / (dotación promedio × días hábiles)</t>
        </is>
      </c>
      <c r="C6" s="13" t="inlineStr">
        <is>
          <t>¿Qué parte del tiempo de trabajo se pierde?</t>
        </is>
      </c>
      <c r="D6" s="7" t="n"/>
    </row>
    <row r="7">
      <c r="A7" s="13" t="inlineStr">
        <is>
          <t>Índice de frecuencia</t>
        </is>
      </c>
      <c r="B7" s="13" t="inlineStr">
        <is>
          <t>licencias / dotación promedio</t>
        </is>
      </c>
      <c r="C7" s="13" t="inlineStr">
        <is>
          <t>¿Cuántas licencias hay por trabajador?</t>
        </is>
      </c>
      <c r="D7" s="7" t="n"/>
    </row>
    <row r="8">
      <c r="A8" s="13" t="inlineStr">
        <is>
          <t>Índice de gravedad</t>
        </is>
      </c>
      <c r="B8" s="13" t="inlineStr">
        <is>
          <t>días de licencia / licencias</t>
        </is>
      </c>
      <c r="C8" s="13" t="inlineStr">
        <is>
          <t>¿Cuánto dura en promedio cada licencia?</t>
        </is>
      </c>
      <c r="D8" s="7" t="n"/>
    </row>
    <row r="9">
      <c r="A9" s="13" t="inlineStr">
        <is>
          <t>Horas extra por trabajador</t>
        </is>
      </c>
      <c r="B9" s="13" t="inlineStr">
        <is>
          <t>horas extra / dotación promedio</t>
        </is>
      </c>
      <c r="C9" s="13" t="inlineStr">
        <is>
          <t>¿Hay sobrecarga o vacantes cubiertas con horas extra?</t>
        </is>
      </c>
      <c r="D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2026-09-28T00:46:28Z</dcterms:created>
  <dcterms:modified xmlns:dcterms="http://purl.org/dc/terms/" xmlns:xsi="http://www.w3.org/2001/XMLSchema-instance" xsi:type="dcterms:W3CDTF">2026-09-28T00:46:28Z</dcterms:modified>
</cp:coreProperties>
</file>