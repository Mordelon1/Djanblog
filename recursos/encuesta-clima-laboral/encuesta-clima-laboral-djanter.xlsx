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Respuestas" sheetId="3" state="visible" r:id="rId3"/>
    <sheet xmlns:r="http://schemas.openxmlformats.org/officeDocument/2006/relationships" name="Resul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C3A4E"/>
      <sz val="15"/>
    </font>
    <font>
      <i val="1"/>
      <color rgb="005A6B7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C3A4E"/>
      </patternFill>
    </fill>
    <fill>
      <patternFill patternType="solid">
        <fgColor rgb="002E8B8B"/>
      </patternFill>
    </fill>
    <fill>
      <patternFill patternType="solid">
        <fgColor rgb="00EEF2F4"/>
      </patternFill>
    </fill>
  </fills>
  <borders count="2">
    <border>
      <left/>
      <right/>
      <top/>
      <bottom/>
      <diagonal/>
    </border>
    <border>
      <left style="thin">
        <color rgb="00C9D3D9"/>
      </left>
      <right style="thin">
        <color rgb="00C9D3D9"/>
      </right>
      <top style="thin">
        <color rgb="00C9D3D9"/>
      </top>
      <bottom style="thin">
        <color rgb="00C9D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9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9" fontId="0" fillId="4" borderId="1" pivotButton="0" quotePrefix="0" xfId="0"/>
    <xf numFmtId="2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Encuesta de clima laboral — Djanter Capital</t>
        </is>
      </c>
    </row>
    <row r="2">
      <c r="A2" s="2" t="inlineStr">
        <is>
          <t>Gratuita. djantercapital.cl/recursos/encuesta-clima-laboral/</t>
        </is>
      </c>
    </row>
    <row r="4">
      <c r="A4" t="inlineStr">
        <is>
          <t>1. Crea un formulario anónimo (Google Forms o Microsoft Forms, sin recolectar correos) con las preguntas de la hoja 'Preguntas'.</t>
        </is>
      </c>
    </row>
    <row r="5">
      <c r="A5" t="inlineStr">
        <is>
          <t>2. Exporta las respuestas y pega los valores de 1 a 5 en la hoja 'Respuestas', una fila por persona, desde la columna B (P1) a la AG (P32).</t>
        </is>
      </c>
    </row>
    <row r="6">
      <c r="A6" t="inlineStr">
        <is>
          <t>3. No inviertas tú las preguntas marcadas (I): la hoja 'Resultados' las corrige sola con 6 - respuesta.</t>
        </is>
      </c>
    </row>
    <row r="7">
      <c r="A7" t="inlineStr">
        <is>
          <t>4. La hoja 'Resultados' calcula el % favorable (respuestas 4 y 5), el % desfavorable (1 y 2) y el promedio por pregunta y por dimensión.</t>
        </is>
      </c>
    </row>
    <row r="8">
      <c r="A8" t="inlineStr">
        <is>
          <t>5. Para resultados por área, copia el archivo y pega solo las respuestas de esa área. No informes grupos con menos de 5 respuestas.</t>
        </is>
      </c>
    </row>
    <row r="9">
      <c r="A9" t="inlineStr"/>
    </row>
    <row r="10">
      <c r="A10" t="inlineStr">
        <is>
          <t>Importante: cuestionario base inspirado en las dimensiones clásicas de clima (Litwin y Stringer, 1968). No es un instrumento psicométricamente validado</t>
        </is>
      </c>
    </row>
    <row r="11">
      <c r="A11" t="inlineStr">
        <is>
          <t>ni reemplaza al CEAL-SM/SUSESO de riesgos psicosociales.</t>
        </is>
      </c>
    </row>
    <row r="12">
      <c r="A12" t="inlineStr">
        <is>
          <t>Escala: 1 Muy en desacuerdo · 2 En desacuerdo · 3 Ni de acuerdo ni en desacuerdo · 4 De acuerdo · 5 Muy de acuerdo.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  <col width="10" customWidth="1" min="4" max="4"/>
  </cols>
  <sheetData>
    <row r="1" ht="48" customHeight="1">
      <c r="A1" s="3" t="inlineStr">
        <is>
          <t>N.º</t>
        </is>
      </c>
      <c r="B1" s="3" t="inlineStr">
        <is>
          <t>Dimensión</t>
        </is>
      </c>
      <c r="C1" s="3" t="inlineStr">
        <is>
          <t>Afirmación</t>
        </is>
      </c>
      <c r="D1" s="3" t="inlineStr">
        <is>
          <t>Inversa</t>
        </is>
      </c>
    </row>
    <row r="2">
      <c r="A2" s="4" t="n">
        <v>1</v>
      </c>
      <c r="B2" s="4" t="inlineStr">
        <is>
          <t>Liderazgo de la jefatura directa</t>
        </is>
      </c>
      <c r="C2" s="4" t="inlineStr">
        <is>
          <t>Mi jefatura me da orientaciones claras sobre lo que espera de mi trabajo.</t>
        </is>
      </c>
      <c r="D2" s="4" t="inlineStr"/>
    </row>
    <row r="3">
      <c r="A3" s="4" t="n">
        <v>2</v>
      </c>
      <c r="B3" s="4" t="inlineStr">
        <is>
          <t>Liderazgo de la jefatura directa</t>
        </is>
      </c>
      <c r="C3" s="4" t="inlineStr">
        <is>
          <t>Mi jefatura me entrega retroalimentación útil sobre mi desempeño.</t>
        </is>
      </c>
      <c r="D3" s="4" t="inlineStr"/>
    </row>
    <row r="4">
      <c r="A4" s="4" t="n">
        <v>3</v>
      </c>
      <c r="B4" s="4" t="inlineStr">
        <is>
          <t>Liderazgo de la jefatura directa</t>
        </is>
      </c>
      <c r="C4" s="4" t="inlineStr">
        <is>
          <t>Mi jefatura trata a todas las personas del equipo con respeto.</t>
        </is>
      </c>
      <c r="D4" s="4" t="inlineStr"/>
    </row>
    <row r="5">
      <c r="A5" s="4" t="n">
        <v>4</v>
      </c>
      <c r="B5" s="4" t="inlineStr">
        <is>
          <t>Liderazgo de la jefatura directa</t>
        </is>
      </c>
      <c r="C5" s="4" t="inlineStr">
        <is>
          <t>Siento que puedo plantearle un problema a mi jefatura sin temor a represalias.</t>
        </is>
      </c>
      <c r="D5" s="4" t="inlineStr"/>
    </row>
    <row r="6">
      <c r="A6" s="4" t="n">
        <v>5</v>
      </c>
      <c r="B6" s="4" t="inlineStr">
        <is>
          <t>Comunicación</t>
        </is>
      </c>
      <c r="C6" s="4" t="inlineStr">
        <is>
          <t>Me entero a tiempo de las decisiones que afectan mi trabajo.</t>
        </is>
      </c>
      <c r="D6" s="4" t="inlineStr"/>
    </row>
    <row r="7">
      <c r="A7" s="4" t="n">
        <v>6</v>
      </c>
      <c r="B7" s="4" t="inlineStr">
        <is>
          <t>Comunicación</t>
        </is>
      </c>
      <c r="C7" s="4" t="inlineStr">
        <is>
          <t>La información llega de manera clara entre las distintas áreas.</t>
        </is>
      </c>
      <c r="D7" s="4" t="inlineStr"/>
    </row>
    <row r="8">
      <c r="A8" s="4" t="n">
        <v>7</v>
      </c>
      <c r="B8" s="4" t="inlineStr">
        <is>
          <t>Comunicación</t>
        </is>
      </c>
      <c r="C8" s="4" t="inlineStr">
        <is>
          <t>Con frecuencia me entero de cosas importantes por rumores.</t>
        </is>
      </c>
      <c r="D8" s="4" t="inlineStr">
        <is>
          <t>Sí</t>
        </is>
      </c>
    </row>
    <row r="9">
      <c r="A9" s="4" t="n">
        <v>8</v>
      </c>
      <c r="B9" s="4" t="inlineStr">
        <is>
          <t>Comunicación</t>
        </is>
      </c>
      <c r="C9" s="4" t="inlineStr">
        <is>
          <t>Cuando doy una opinión o sugerencia, siento que es considerada.</t>
        </is>
      </c>
      <c r="D9" s="4" t="inlineStr"/>
    </row>
    <row r="10">
      <c r="A10" s="4" t="n">
        <v>9</v>
      </c>
      <c r="B10" s="4" t="inlineStr">
        <is>
          <t>Relaciones y trabajo en equipo</t>
        </is>
      </c>
      <c r="C10" s="4" t="inlineStr">
        <is>
          <t>En mi equipo nos ayudamos cuando alguien lo necesita.</t>
        </is>
      </c>
      <c r="D10" s="4" t="inlineStr"/>
    </row>
    <row r="11">
      <c r="A11" s="4" t="n">
        <v>10</v>
      </c>
      <c r="B11" s="4" t="inlineStr">
        <is>
          <t>Relaciones y trabajo en equipo</t>
        </is>
      </c>
      <c r="C11" s="4" t="inlineStr">
        <is>
          <t>Las relaciones con mis compañeros son de respeto.</t>
        </is>
      </c>
      <c r="D11" s="4" t="inlineStr"/>
    </row>
    <row r="12">
      <c r="A12" s="4" t="n">
        <v>11</v>
      </c>
      <c r="B12" s="4" t="inlineStr">
        <is>
          <t>Relaciones y trabajo en equipo</t>
        </is>
      </c>
      <c r="C12" s="4" t="inlineStr">
        <is>
          <t>Los conflictos en mi equipo se conversan y se resuelven.</t>
        </is>
      </c>
      <c r="D12" s="4" t="inlineStr"/>
    </row>
    <row r="13">
      <c r="A13" s="4" t="n">
        <v>12</v>
      </c>
      <c r="B13" s="4" t="inlineStr">
        <is>
          <t>Relaciones y trabajo en equipo</t>
        </is>
      </c>
      <c r="C13" s="4" t="inlineStr">
        <is>
          <t>Existe colaboración entre mi área y las demás áreas.</t>
        </is>
      </c>
      <c r="D13" s="4" t="inlineStr"/>
    </row>
    <row r="14">
      <c r="A14" s="4" t="n">
        <v>13</v>
      </c>
      <c r="B14" s="4" t="inlineStr">
        <is>
          <t>Reconocimiento</t>
        </is>
      </c>
      <c r="C14" s="4" t="inlineStr">
        <is>
          <t>Cuando hago bien mi trabajo, se reconoce.</t>
        </is>
      </c>
      <c r="D14" s="4" t="inlineStr"/>
    </row>
    <row r="15">
      <c r="A15" s="4" t="n">
        <v>14</v>
      </c>
      <c r="B15" s="4" t="inlineStr">
        <is>
          <t>Reconocimiento</t>
        </is>
      </c>
      <c r="C15" s="4" t="inlineStr">
        <is>
          <t>Siento que mi remuneración es justa en relación con mi trabajo.</t>
        </is>
      </c>
      <c r="D15" s="4" t="inlineStr"/>
    </row>
    <row r="16">
      <c r="A16" s="4" t="n">
        <v>15</v>
      </c>
      <c r="B16" s="4" t="inlineStr">
        <is>
          <t>Reconocimiento</t>
        </is>
      </c>
      <c r="C16" s="4" t="inlineStr">
        <is>
          <t>Los criterios para reconocer o premiar a las personas son claros.</t>
        </is>
      </c>
      <c r="D16" s="4" t="inlineStr"/>
    </row>
    <row r="17">
      <c r="A17" s="4" t="n">
        <v>16</v>
      </c>
      <c r="B17" s="4" t="inlineStr">
        <is>
          <t>Reconocimiento</t>
        </is>
      </c>
      <c r="C17" s="4" t="inlineStr">
        <is>
          <t>Siento que mi esfuerzo pasa desapercibido.</t>
        </is>
      </c>
      <c r="D17" s="4" t="inlineStr">
        <is>
          <t>Sí</t>
        </is>
      </c>
    </row>
    <row r="18">
      <c r="A18" s="4" t="n">
        <v>17</v>
      </c>
      <c r="B18" s="4" t="inlineStr">
        <is>
          <t>Carga y organización del trabajo</t>
        </is>
      </c>
      <c r="C18" s="4" t="inlineStr">
        <is>
          <t>Puedo realizar mi trabajo dentro de mi jornada habitual.</t>
        </is>
      </c>
      <c r="D18" s="4" t="inlineStr"/>
    </row>
    <row r="19">
      <c r="A19" s="4" t="n">
        <v>18</v>
      </c>
      <c r="B19" s="4" t="inlineStr">
        <is>
          <t>Carga y organización del trabajo</t>
        </is>
      </c>
      <c r="C19" s="4" t="inlineStr">
        <is>
          <t>La carga de trabajo está bien distribuida en mi equipo.</t>
        </is>
      </c>
      <c r="D19" s="4" t="inlineStr"/>
    </row>
    <row r="20">
      <c r="A20" s="4" t="n">
        <v>19</v>
      </c>
      <c r="B20" s="4" t="inlineStr">
        <is>
          <t>Carga y organización del trabajo</t>
        </is>
      </c>
      <c r="C20" s="4" t="inlineStr">
        <is>
          <t>Con frecuencia tengo que trabajar con plazos imposibles de cumplir.</t>
        </is>
      </c>
      <c r="D20" s="4" t="inlineStr">
        <is>
          <t>Sí</t>
        </is>
      </c>
    </row>
    <row r="21">
      <c r="A21" s="4" t="n">
        <v>20</v>
      </c>
      <c r="B21" s="4" t="inlineStr">
        <is>
          <t>Carga y organización del trabajo</t>
        </is>
      </c>
      <c r="C21" s="4" t="inlineStr">
        <is>
          <t>Puedo compatibilizar mi trabajo con mi vida personal.</t>
        </is>
      </c>
      <c r="D21" s="4" t="inlineStr"/>
    </row>
    <row r="22">
      <c r="A22" s="4" t="n">
        <v>21</v>
      </c>
      <c r="B22" s="4" t="inlineStr">
        <is>
          <t>Condiciones y recursos</t>
        </is>
      </c>
      <c r="C22" s="4" t="inlineStr">
        <is>
          <t>Cuento con los materiales y equipos necesarios para hacer bien mi trabajo.</t>
        </is>
      </c>
      <c r="D22" s="4" t="inlineStr"/>
    </row>
    <row r="23">
      <c r="A23" s="4" t="n">
        <v>22</v>
      </c>
      <c r="B23" s="4" t="inlineStr">
        <is>
          <t>Condiciones y recursos</t>
        </is>
      </c>
      <c r="C23" s="4" t="inlineStr">
        <is>
          <t>Mi lugar de trabajo es seguro.</t>
        </is>
      </c>
      <c r="D23" s="4" t="inlineStr"/>
    </row>
    <row r="24">
      <c r="A24" s="4" t="n">
        <v>23</v>
      </c>
      <c r="B24" s="4" t="inlineStr">
        <is>
          <t>Condiciones y recursos</t>
        </is>
      </c>
      <c r="C24" s="4" t="inlineStr">
        <is>
          <t>Mi lugar de trabajo tiene condiciones adecuadas (espacio, ruido, temperatura).</t>
        </is>
      </c>
      <c r="D24" s="4" t="inlineStr"/>
    </row>
    <row r="25">
      <c r="A25" s="4" t="n">
        <v>24</v>
      </c>
      <c r="B25" s="4" t="inlineStr">
        <is>
          <t>Condiciones y recursos</t>
        </is>
      </c>
      <c r="C25" s="4" t="inlineStr">
        <is>
          <t>Los sistemas y procedimientos facilitan mi trabajo.</t>
        </is>
      </c>
      <c r="D25" s="4" t="inlineStr"/>
    </row>
    <row r="26">
      <c r="A26" s="4" t="n">
        <v>25</v>
      </c>
      <c r="B26" s="4" t="inlineStr">
        <is>
          <t>Claridad del rol y desarrollo</t>
        </is>
      </c>
      <c r="C26" s="4" t="inlineStr">
        <is>
          <t>Tengo claras mis funciones y responsabilidades.</t>
        </is>
      </c>
      <c r="D26" s="4" t="inlineStr"/>
    </row>
    <row r="27">
      <c r="A27" s="4" t="n">
        <v>26</v>
      </c>
      <c r="B27" s="4" t="inlineStr">
        <is>
          <t>Claridad del rol y desarrollo</t>
        </is>
      </c>
      <c r="C27" s="4" t="inlineStr">
        <is>
          <t>He recibido la capacitación necesaria para hacer bien mi trabajo.</t>
        </is>
      </c>
      <c r="D27" s="4" t="inlineStr"/>
    </row>
    <row r="28">
      <c r="A28" s="4" t="n">
        <v>27</v>
      </c>
      <c r="B28" s="4" t="inlineStr">
        <is>
          <t>Claridad del rol y desarrollo</t>
        </is>
      </c>
      <c r="C28" s="4" t="inlineStr">
        <is>
          <t>En esta organización tengo oportunidades de aprender y crecer.</t>
        </is>
      </c>
      <c r="D28" s="4" t="inlineStr"/>
    </row>
    <row r="29">
      <c r="A29" s="4" t="n">
        <v>28</v>
      </c>
      <c r="B29" s="4" t="inlineStr">
        <is>
          <t>Claridad del rol y desarrollo</t>
        </is>
      </c>
      <c r="C29" s="4" t="inlineStr">
        <is>
          <t>Los ascensos y cambios de cargo se deciden con criterios claros.</t>
        </is>
      </c>
      <c r="D29" s="4" t="inlineStr"/>
    </row>
    <row r="30">
      <c r="A30" s="4" t="n">
        <v>29</v>
      </c>
      <c r="B30" s="4" t="inlineStr">
        <is>
          <t>Compromiso y pertenencia</t>
        </is>
      </c>
      <c r="C30" s="4" t="inlineStr">
        <is>
          <t>Me siento orgulloso u orgullosa de trabajar en esta organización.</t>
        </is>
      </c>
      <c r="D30" s="4" t="inlineStr"/>
    </row>
    <row r="31">
      <c r="A31" s="4" t="n">
        <v>30</v>
      </c>
      <c r="B31" s="4" t="inlineStr">
        <is>
          <t>Compromiso y pertenencia</t>
        </is>
      </c>
      <c r="C31" s="4" t="inlineStr">
        <is>
          <t>Recomendaría esta organización como un buen lugar para trabajar.</t>
        </is>
      </c>
      <c r="D31" s="4" t="inlineStr"/>
    </row>
    <row r="32">
      <c r="A32" s="4" t="n">
        <v>31</v>
      </c>
      <c r="B32" s="4" t="inlineStr">
        <is>
          <t>Compromiso y pertenencia</t>
        </is>
      </c>
      <c r="C32" s="4" t="inlineStr">
        <is>
          <t>Pienso seguido en buscar trabajo en otra parte.</t>
        </is>
      </c>
      <c r="D32" s="4" t="inlineStr">
        <is>
          <t>Sí</t>
        </is>
      </c>
    </row>
    <row r="33">
      <c r="A33" s="4" t="n">
        <v>32</v>
      </c>
      <c r="B33" s="4" t="inlineStr">
        <is>
          <t>Compromiso y pertenencia</t>
        </is>
      </c>
      <c r="C33" s="4" t="inlineStr">
        <is>
          <t>Entiendo cómo mi trabajo contribuye a los objetivos de la organización.</t>
        </is>
      </c>
      <c r="D33" s="4" t="inlineStr"/>
    </row>
    <row r="35">
      <c r="C35" t="inlineStr">
        <is>
          <t>Abierta 1: ¿Qué es lo que más valoras de trabajar aquí?</t>
        </is>
      </c>
    </row>
    <row r="36">
      <c r="C36" t="inlineStr">
        <is>
          <t>Abierta 2: Si pudieras cambiar una sola cosa para mejorar el clima de tu equipo, ¿cuál sería?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5" t="inlineStr">
        <is>
          <t>Persona</t>
        </is>
      </c>
      <c r="B1" s="6" t="inlineStr">
        <is>
          <t>P1</t>
        </is>
      </c>
      <c r="C1" s="6" t="inlineStr">
        <is>
          <t>P2</t>
        </is>
      </c>
      <c r="D1" s="6" t="inlineStr">
        <is>
          <t>P3</t>
        </is>
      </c>
      <c r="E1" s="6" t="inlineStr">
        <is>
          <t>P4</t>
        </is>
      </c>
      <c r="F1" s="6" t="inlineStr">
        <is>
          <t>P5</t>
        </is>
      </c>
      <c r="G1" s="6" t="inlineStr">
        <is>
          <t>P6</t>
        </is>
      </c>
      <c r="H1" s="6" t="inlineStr">
        <is>
          <t>P7</t>
        </is>
      </c>
      <c r="I1" s="6" t="inlineStr">
        <is>
          <t>P8</t>
        </is>
      </c>
      <c r="J1" s="6" t="inlineStr">
        <is>
          <t>P9</t>
        </is>
      </c>
      <c r="K1" s="6" t="inlineStr">
        <is>
          <t>P10</t>
        </is>
      </c>
      <c r="L1" s="6" t="inlineStr">
        <is>
          <t>P11</t>
        </is>
      </c>
      <c r="M1" s="6" t="inlineStr">
        <is>
          <t>P12</t>
        </is>
      </c>
      <c r="N1" s="6" t="inlineStr">
        <is>
          <t>P13</t>
        </is>
      </c>
      <c r="O1" s="6" t="inlineStr">
        <is>
          <t>P14</t>
        </is>
      </c>
      <c r="P1" s="6" t="inlineStr">
        <is>
          <t>P15</t>
        </is>
      </c>
      <c r="Q1" s="6" t="inlineStr">
        <is>
          <t>P16</t>
        </is>
      </c>
      <c r="R1" s="6" t="inlineStr">
        <is>
          <t>P17</t>
        </is>
      </c>
      <c r="S1" s="6" t="inlineStr">
        <is>
          <t>P18</t>
        </is>
      </c>
      <c r="T1" s="6" t="inlineStr">
        <is>
          <t>P19</t>
        </is>
      </c>
      <c r="U1" s="6" t="inlineStr">
        <is>
          <t>P20</t>
        </is>
      </c>
      <c r="V1" s="6" t="inlineStr">
        <is>
          <t>P21</t>
        </is>
      </c>
      <c r="W1" s="6" t="inlineStr">
        <is>
          <t>P22</t>
        </is>
      </c>
      <c r="X1" s="6" t="inlineStr">
        <is>
          <t>P23</t>
        </is>
      </c>
      <c r="Y1" s="6" t="inlineStr">
        <is>
          <t>P24</t>
        </is>
      </c>
      <c r="Z1" s="6" t="inlineStr">
        <is>
          <t>P25</t>
        </is>
      </c>
      <c r="AA1" s="6" t="inlineStr">
        <is>
          <t>P26</t>
        </is>
      </c>
      <c r="AB1" s="6" t="inlineStr">
        <is>
          <t>P27</t>
        </is>
      </c>
      <c r="AC1" s="6" t="inlineStr">
        <is>
          <t>P28</t>
        </is>
      </c>
      <c r="AD1" s="6" t="inlineStr">
        <is>
          <t>P29</t>
        </is>
      </c>
      <c r="AE1" s="6" t="inlineStr">
        <is>
          <t>P30</t>
        </is>
      </c>
      <c r="AF1" s="6" t="inlineStr">
        <is>
          <t>P31</t>
        </is>
      </c>
      <c r="AG1" s="6" t="inlineStr">
        <is>
          <t>P32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  <row r="42">
      <c r="A42" t="n">
        <v>41</v>
      </c>
    </row>
    <row r="43">
      <c r="A43" t="n">
        <v>42</v>
      </c>
    </row>
    <row r="44">
      <c r="A44" t="n">
        <v>43</v>
      </c>
    </row>
    <row r="45">
      <c r="A45" t="n">
        <v>44</v>
      </c>
    </row>
    <row r="46">
      <c r="A46" t="n">
        <v>45</v>
      </c>
    </row>
    <row r="47">
      <c r="A47" t="n">
        <v>46</v>
      </c>
    </row>
    <row r="48">
      <c r="A48" t="n">
        <v>47</v>
      </c>
    </row>
    <row r="49">
      <c r="A49" t="n">
        <v>48</v>
      </c>
    </row>
    <row r="50">
      <c r="A50" t="n">
        <v>49</v>
      </c>
    </row>
    <row r="51">
      <c r="A51" t="n">
        <v>50</v>
      </c>
    </row>
    <row r="52">
      <c r="A52" t="n">
        <v>51</v>
      </c>
    </row>
    <row r="53">
      <c r="A53" t="n">
        <v>52</v>
      </c>
    </row>
    <row r="54">
      <c r="A54" t="n">
        <v>53</v>
      </c>
    </row>
    <row r="55">
      <c r="A55" t="n">
        <v>54</v>
      </c>
    </row>
    <row r="56">
      <c r="A56" t="n">
        <v>55</v>
      </c>
    </row>
    <row r="57">
      <c r="A57" t="n">
        <v>56</v>
      </c>
    </row>
    <row r="58">
      <c r="A58" t="n">
        <v>57</v>
      </c>
    </row>
    <row r="59">
      <c r="A59" t="n">
        <v>58</v>
      </c>
    </row>
    <row r="60">
      <c r="A60" t="n">
        <v>59</v>
      </c>
    </row>
    <row r="61">
      <c r="A61" t="n">
        <v>60</v>
      </c>
    </row>
    <row r="62">
      <c r="A62" t="n">
        <v>61</v>
      </c>
    </row>
    <row r="63">
      <c r="A63" t="n">
        <v>62</v>
      </c>
    </row>
    <row r="64">
      <c r="A64" t="n">
        <v>63</v>
      </c>
    </row>
    <row r="65">
      <c r="A65" t="n">
        <v>64</v>
      </c>
    </row>
    <row r="66">
      <c r="A66" t="n">
        <v>65</v>
      </c>
    </row>
    <row r="67">
      <c r="A67" t="n">
        <v>66</v>
      </c>
    </row>
    <row r="68">
      <c r="A68" t="n">
        <v>67</v>
      </c>
    </row>
    <row r="69">
      <c r="A69" t="n">
        <v>68</v>
      </c>
    </row>
    <row r="70">
      <c r="A70" t="n">
        <v>69</v>
      </c>
    </row>
    <row r="71">
      <c r="A71" t="n">
        <v>70</v>
      </c>
    </row>
    <row r="72">
      <c r="A72" t="n">
        <v>71</v>
      </c>
    </row>
    <row r="73">
      <c r="A73" t="n">
        <v>72</v>
      </c>
    </row>
    <row r="74">
      <c r="A74" t="n">
        <v>73</v>
      </c>
    </row>
    <row r="75">
      <c r="A75" t="n">
        <v>74</v>
      </c>
    </row>
    <row r="76">
      <c r="A76" t="n">
        <v>75</v>
      </c>
    </row>
    <row r="77">
      <c r="A77" t="n">
        <v>76</v>
      </c>
    </row>
    <row r="78">
      <c r="A78" t="n">
        <v>77</v>
      </c>
    </row>
    <row r="79">
      <c r="A79" t="n">
        <v>78</v>
      </c>
    </row>
    <row r="80">
      <c r="A80" t="n">
        <v>79</v>
      </c>
    </row>
    <row r="81">
      <c r="A81" t="n">
        <v>80</v>
      </c>
    </row>
    <row r="82">
      <c r="A82" t="n">
        <v>81</v>
      </c>
    </row>
    <row r="83">
      <c r="A83" t="n">
        <v>82</v>
      </c>
    </row>
    <row r="84">
      <c r="A84" t="n">
        <v>83</v>
      </c>
    </row>
    <row r="85">
      <c r="A85" t="n">
        <v>84</v>
      </c>
    </row>
    <row r="86">
      <c r="A86" t="n">
        <v>85</v>
      </c>
    </row>
    <row r="87">
      <c r="A87" t="n">
        <v>86</v>
      </c>
    </row>
    <row r="88">
      <c r="A88" t="n">
        <v>87</v>
      </c>
    </row>
    <row r="89">
      <c r="A89" t="n">
        <v>88</v>
      </c>
    </row>
    <row r="90">
      <c r="A90" t="n">
        <v>89</v>
      </c>
    </row>
    <row r="91">
      <c r="A91" t="n">
        <v>90</v>
      </c>
    </row>
    <row r="92">
      <c r="A92" t="n">
        <v>91</v>
      </c>
    </row>
    <row r="93">
      <c r="A93" t="n">
        <v>92</v>
      </c>
    </row>
    <row r="94">
      <c r="A94" t="n">
        <v>93</v>
      </c>
    </row>
    <row r="95">
      <c r="A95" t="n">
        <v>94</v>
      </c>
    </row>
    <row r="96">
      <c r="A96" t="n">
        <v>95</v>
      </c>
    </row>
    <row r="97">
      <c r="A97" t="n">
        <v>96</v>
      </c>
    </row>
    <row r="98">
      <c r="A98" t="n">
        <v>97</v>
      </c>
    </row>
    <row r="99">
      <c r="A99" t="n">
        <v>98</v>
      </c>
    </row>
    <row r="100">
      <c r="A100" t="n">
        <v>99</v>
      </c>
    </row>
    <row r="101">
      <c r="A101" t="n">
        <v>100</v>
      </c>
    </row>
    <row r="102">
      <c r="A102" t="n">
        <v>101</v>
      </c>
    </row>
    <row r="103">
      <c r="A103" t="n">
        <v>102</v>
      </c>
    </row>
    <row r="104">
      <c r="A104" t="n">
        <v>103</v>
      </c>
    </row>
    <row r="105">
      <c r="A105" t="n">
        <v>104</v>
      </c>
    </row>
    <row r="106">
      <c r="A106" t="n">
        <v>105</v>
      </c>
    </row>
    <row r="107">
      <c r="A107" t="n">
        <v>106</v>
      </c>
    </row>
    <row r="108">
      <c r="A108" t="n">
        <v>107</v>
      </c>
    </row>
    <row r="109">
      <c r="A109" t="n">
        <v>108</v>
      </c>
    </row>
    <row r="110">
      <c r="A110" t="n">
        <v>109</v>
      </c>
    </row>
    <row r="111">
      <c r="A111" t="n">
        <v>110</v>
      </c>
    </row>
    <row r="112">
      <c r="A112" t="n">
        <v>111</v>
      </c>
    </row>
    <row r="113">
      <c r="A113" t="n">
        <v>112</v>
      </c>
    </row>
    <row r="114">
      <c r="A114" t="n">
        <v>113</v>
      </c>
    </row>
    <row r="115">
      <c r="A115" t="n">
        <v>114</v>
      </c>
    </row>
    <row r="116">
      <c r="A116" t="n">
        <v>115</v>
      </c>
    </row>
    <row r="117">
      <c r="A117" t="n">
        <v>116</v>
      </c>
    </row>
    <row r="118">
      <c r="A118" t="n">
        <v>117</v>
      </c>
    </row>
    <row r="119">
      <c r="A119" t="n">
        <v>118</v>
      </c>
    </row>
    <row r="120">
      <c r="A120" t="n">
        <v>119</v>
      </c>
    </row>
    <row r="121">
      <c r="A121" t="n">
        <v>120</v>
      </c>
    </row>
    <row r="122">
      <c r="A122" t="n">
        <v>121</v>
      </c>
    </row>
    <row r="123">
      <c r="A123" t="n">
        <v>122</v>
      </c>
    </row>
    <row r="124">
      <c r="A124" t="n">
        <v>123</v>
      </c>
    </row>
    <row r="125">
      <c r="A125" t="n">
        <v>124</v>
      </c>
    </row>
    <row r="126">
      <c r="A126" t="n">
        <v>125</v>
      </c>
    </row>
    <row r="127">
      <c r="A127" t="n">
        <v>126</v>
      </c>
    </row>
    <row r="128">
      <c r="A128" t="n">
        <v>127</v>
      </c>
    </row>
    <row r="129">
      <c r="A129" t="n">
        <v>128</v>
      </c>
    </row>
    <row r="130">
      <c r="A130" t="n">
        <v>129</v>
      </c>
    </row>
    <row r="131">
      <c r="A131" t="n">
        <v>130</v>
      </c>
    </row>
    <row r="132">
      <c r="A132" t="n">
        <v>131</v>
      </c>
    </row>
    <row r="133">
      <c r="A133" t="n">
        <v>132</v>
      </c>
    </row>
    <row r="134">
      <c r="A134" t="n">
        <v>133</v>
      </c>
    </row>
    <row r="135">
      <c r="A135" t="n">
        <v>134</v>
      </c>
    </row>
    <row r="136">
      <c r="A136" t="n">
        <v>135</v>
      </c>
    </row>
    <row r="137">
      <c r="A137" t="n">
        <v>136</v>
      </c>
    </row>
    <row r="138">
      <c r="A138" t="n">
        <v>137</v>
      </c>
    </row>
    <row r="139">
      <c r="A139" t="n">
        <v>138</v>
      </c>
    </row>
    <row r="140">
      <c r="A140" t="n">
        <v>139</v>
      </c>
    </row>
    <row r="141">
      <c r="A141" t="n">
        <v>140</v>
      </c>
    </row>
    <row r="142">
      <c r="A142" t="n">
        <v>141</v>
      </c>
    </row>
    <row r="143">
      <c r="A143" t="n">
        <v>142</v>
      </c>
    </row>
    <row r="144">
      <c r="A144" t="n">
        <v>143</v>
      </c>
    </row>
    <row r="145">
      <c r="A145" t="n">
        <v>144</v>
      </c>
    </row>
    <row r="146">
      <c r="A146" t="n">
        <v>145</v>
      </c>
    </row>
    <row r="147">
      <c r="A147" t="n">
        <v>146</v>
      </c>
    </row>
    <row r="148">
      <c r="A148" t="n">
        <v>147</v>
      </c>
    </row>
    <row r="149">
      <c r="A149" t="n">
        <v>148</v>
      </c>
    </row>
    <row r="150">
      <c r="A150" t="n">
        <v>149</v>
      </c>
    </row>
    <row r="151">
      <c r="A151" t="n">
        <v>150</v>
      </c>
    </row>
    <row r="152">
      <c r="A152" t="n">
        <v>151</v>
      </c>
    </row>
    <row r="153">
      <c r="A153" t="n">
        <v>152</v>
      </c>
    </row>
    <row r="154">
      <c r="A154" t="n">
        <v>153</v>
      </c>
    </row>
    <row r="155">
      <c r="A155" t="n">
        <v>154</v>
      </c>
    </row>
    <row r="156">
      <c r="A156" t="n">
        <v>155</v>
      </c>
    </row>
    <row r="157">
      <c r="A157" t="n">
        <v>156</v>
      </c>
    </row>
    <row r="158">
      <c r="A158" t="n">
        <v>157</v>
      </c>
    </row>
    <row r="159">
      <c r="A159" t="n">
        <v>158</v>
      </c>
    </row>
    <row r="160">
      <c r="A160" t="n">
        <v>159</v>
      </c>
    </row>
    <row r="161">
      <c r="A161" t="n">
        <v>160</v>
      </c>
    </row>
    <row r="162">
      <c r="A162" t="n">
        <v>161</v>
      </c>
    </row>
    <row r="163">
      <c r="A163" t="n">
        <v>162</v>
      </c>
    </row>
    <row r="164">
      <c r="A164" t="n">
        <v>163</v>
      </c>
    </row>
    <row r="165">
      <c r="A165" t="n">
        <v>164</v>
      </c>
    </row>
    <row r="166">
      <c r="A166" t="n">
        <v>165</v>
      </c>
    </row>
    <row r="167">
      <c r="A167" t="n">
        <v>166</v>
      </c>
    </row>
    <row r="168">
      <c r="A168" t="n">
        <v>167</v>
      </c>
    </row>
    <row r="169">
      <c r="A169" t="n">
        <v>168</v>
      </c>
    </row>
    <row r="170">
      <c r="A170" t="n">
        <v>169</v>
      </c>
    </row>
    <row r="171">
      <c r="A171" t="n">
        <v>170</v>
      </c>
    </row>
    <row r="172">
      <c r="A172" t="n">
        <v>171</v>
      </c>
    </row>
    <row r="173">
      <c r="A173" t="n">
        <v>172</v>
      </c>
    </row>
    <row r="174">
      <c r="A174" t="n">
        <v>173</v>
      </c>
    </row>
    <row r="175">
      <c r="A175" t="n">
        <v>174</v>
      </c>
    </row>
    <row r="176">
      <c r="A176" t="n">
        <v>175</v>
      </c>
    </row>
    <row r="177">
      <c r="A177" t="n">
        <v>176</v>
      </c>
    </row>
    <row r="178">
      <c r="A178" t="n">
        <v>177</v>
      </c>
    </row>
    <row r="179">
      <c r="A179" t="n">
        <v>178</v>
      </c>
    </row>
    <row r="180">
      <c r="A180" t="n">
        <v>179</v>
      </c>
    </row>
    <row r="181">
      <c r="A181" t="n">
        <v>180</v>
      </c>
    </row>
    <row r="182">
      <c r="A182" t="n">
        <v>181</v>
      </c>
    </row>
    <row r="183">
      <c r="A183" t="n">
        <v>182</v>
      </c>
    </row>
    <row r="184">
      <c r="A184" t="n">
        <v>183</v>
      </c>
    </row>
    <row r="185">
      <c r="A185" t="n">
        <v>184</v>
      </c>
    </row>
    <row r="186">
      <c r="A186" t="n">
        <v>185</v>
      </c>
    </row>
    <row r="187">
      <c r="A187" t="n">
        <v>186</v>
      </c>
    </row>
    <row r="188">
      <c r="A188" t="n">
        <v>187</v>
      </c>
    </row>
    <row r="189">
      <c r="A189" t="n">
        <v>188</v>
      </c>
    </row>
    <row r="190">
      <c r="A190" t="n">
        <v>189</v>
      </c>
    </row>
    <row r="191">
      <c r="A191" t="n">
        <v>190</v>
      </c>
    </row>
    <row r="192">
      <c r="A192" t="n">
        <v>191</v>
      </c>
    </row>
    <row r="193">
      <c r="A193" t="n">
        <v>192</v>
      </c>
    </row>
    <row r="194">
      <c r="A194" t="n">
        <v>193</v>
      </c>
    </row>
    <row r="195">
      <c r="A195" t="n">
        <v>194</v>
      </c>
    </row>
    <row r="196">
      <c r="A196" t="n">
        <v>195</v>
      </c>
    </row>
    <row r="197">
      <c r="A197" t="n">
        <v>196</v>
      </c>
    </row>
    <row r="198">
      <c r="A198" t="n">
        <v>197</v>
      </c>
    </row>
    <row r="199">
      <c r="A199" t="n">
        <v>198</v>
      </c>
    </row>
    <row r="200">
      <c r="A200" t="n">
        <v>199</v>
      </c>
    </row>
    <row r="201">
      <c r="A201" t="n">
        <v>200</v>
      </c>
    </row>
    <row r="202">
      <c r="A202" t="n">
        <v>201</v>
      </c>
    </row>
    <row r="203">
      <c r="A203" t="n">
        <v>202</v>
      </c>
    </row>
    <row r="204">
      <c r="A204" t="n">
        <v>203</v>
      </c>
    </row>
    <row r="205">
      <c r="A205" t="n">
        <v>204</v>
      </c>
    </row>
    <row r="206">
      <c r="A206" t="n">
        <v>205</v>
      </c>
    </row>
    <row r="207">
      <c r="A207" t="n">
        <v>206</v>
      </c>
    </row>
    <row r="208">
      <c r="A208" t="n">
        <v>207</v>
      </c>
    </row>
    <row r="209">
      <c r="A209" t="n">
        <v>208</v>
      </c>
    </row>
    <row r="210">
      <c r="A210" t="n">
        <v>209</v>
      </c>
    </row>
    <row r="211">
      <c r="A211" t="n">
        <v>210</v>
      </c>
    </row>
    <row r="212">
      <c r="A212" t="n">
        <v>211</v>
      </c>
    </row>
    <row r="213">
      <c r="A213" t="n">
        <v>212</v>
      </c>
    </row>
    <row r="214">
      <c r="A214" t="n">
        <v>213</v>
      </c>
    </row>
    <row r="215">
      <c r="A215" t="n">
        <v>214</v>
      </c>
    </row>
    <row r="216">
      <c r="A216" t="n">
        <v>215</v>
      </c>
    </row>
    <row r="217">
      <c r="A217" t="n">
        <v>216</v>
      </c>
    </row>
    <row r="218">
      <c r="A218" t="n">
        <v>217</v>
      </c>
    </row>
    <row r="219">
      <c r="A219" t="n">
        <v>218</v>
      </c>
    </row>
    <row r="220">
      <c r="A220" t="n">
        <v>219</v>
      </c>
    </row>
    <row r="221">
      <c r="A221" t="n">
        <v>220</v>
      </c>
    </row>
    <row r="222">
      <c r="A222" t="n">
        <v>221</v>
      </c>
    </row>
    <row r="223">
      <c r="A223" t="n">
        <v>222</v>
      </c>
    </row>
    <row r="224">
      <c r="A224" t="n">
        <v>223</v>
      </c>
    </row>
    <row r="225">
      <c r="A225" t="n">
        <v>224</v>
      </c>
    </row>
    <row r="226">
      <c r="A226" t="n">
        <v>225</v>
      </c>
    </row>
    <row r="227">
      <c r="A227" t="n">
        <v>226</v>
      </c>
    </row>
    <row r="228">
      <c r="A228" t="n">
        <v>227</v>
      </c>
    </row>
    <row r="229">
      <c r="A229" t="n">
        <v>228</v>
      </c>
    </row>
    <row r="230">
      <c r="A230" t="n">
        <v>229</v>
      </c>
    </row>
    <row r="231">
      <c r="A231" t="n">
        <v>230</v>
      </c>
    </row>
    <row r="232">
      <c r="A232" t="n">
        <v>231</v>
      </c>
    </row>
    <row r="233">
      <c r="A233" t="n">
        <v>232</v>
      </c>
    </row>
    <row r="234">
      <c r="A234" t="n">
        <v>233</v>
      </c>
    </row>
    <row r="235">
      <c r="A235" t="n">
        <v>234</v>
      </c>
    </row>
    <row r="236">
      <c r="A236" t="n">
        <v>235</v>
      </c>
    </row>
    <row r="237">
      <c r="A237" t="n">
        <v>236</v>
      </c>
    </row>
    <row r="238">
      <c r="A238" t="n">
        <v>237</v>
      </c>
    </row>
    <row r="239">
      <c r="A239" t="n">
        <v>238</v>
      </c>
    </row>
    <row r="240">
      <c r="A240" t="n">
        <v>239</v>
      </c>
    </row>
    <row r="241">
      <c r="A241" t="n">
        <v>240</v>
      </c>
    </row>
    <row r="242">
      <c r="A242" t="n">
        <v>241</v>
      </c>
    </row>
    <row r="243">
      <c r="A243" t="n">
        <v>242</v>
      </c>
    </row>
    <row r="244">
      <c r="A244" t="n">
        <v>243</v>
      </c>
    </row>
    <row r="245">
      <c r="A245" t="n">
        <v>244</v>
      </c>
    </row>
    <row r="246">
      <c r="A246" t="n">
        <v>245</v>
      </c>
    </row>
    <row r="247">
      <c r="A247" t="n">
        <v>246</v>
      </c>
    </row>
    <row r="248">
      <c r="A248" t="n">
        <v>247</v>
      </c>
    </row>
    <row r="249">
      <c r="A249" t="n">
        <v>248</v>
      </c>
    </row>
    <row r="250">
      <c r="A250" t="n">
        <v>249</v>
      </c>
    </row>
    <row r="251">
      <c r="A251" t="n">
        <v>250</v>
      </c>
    </row>
    <row r="252">
      <c r="A252" t="n">
        <v>251</v>
      </c>
    </row>
    <row r="253">
      <c r="A253" t="n">
        <v>252</v>
      </c>
    </row>
    <row r="254">
      <c r="A254" t="n">
        <v>253</v>
      </c>
    </row>
    <row r="255">
      <c r="A255" t="n">
        <v>254</v>
      </c>
    </row>
    <row r="256">
      <c r="A256" t="n">
        <v>255</v>
      </c>
    </row>
    <row r="257">
      <c r="A257" t="n">
        <v>256</v>
      </c>
    </row>
    <row r="258">
      <c r="A258" t="n">
        <v>257</v>
      </c>
    </row>
    <row r="259">
      <c r="A259" t="n">
        <v>258</v>
      </c>
    </row>
    <row r="260">
      <c r="A260" t="n">
        <v>259</v>
      </c>
    </row>
    <row r="261">
      <c r="A261" t="n">
        <v>260</v>
      </c>
    </row>
    <row r="262">
      <c r="A262" t="n">
        <v>261</v>
      </c>
    </row>
    <row r="263">
      <c r="A263" t="n">
        <v>262</v>
      </c>
    </row>
    <row r="264">
      <c r="A264" t="n">
        <v>263</v>
      </c>
    </row>
    <row r="265">
      <c r="A265" t="n">
        <v>264</v>
      </c>
    </row>
    <row r="266">
      <c r="A266" t="n">
        <v>265</v>
      </c>
    </row>
    <row r="267">
      <c r="A267" t="n">
        <v>266</v>
      </c>
    </row>
    <row r="268">
      <c r="A268" t="n">
        <v>267</v>
      </c>
    </row>
    <row r="269">
      <c r="A269" t="n">
        <v>268</v>
      </c>
    </row>
    <row r="270">
      <c r="A270" t="n">
        <v>269</v>
      </c>
    </row>
    <row r="271">
      <c r="A271" t="n">
        <v>270</v>
      </c>
    </row>
    <row r="272">
      <c r="A272" t="n">
        <v>271</v>
      </c>
    </row>
    <row r="273">
      <c r="A273" t="n">
        <v>272</v>
      </c>
    </row>
    <row r="274">
      <c r="A274" t="n">
        <v>273</v>
      </c>
    </row>
    <row r="275">
      <c r="A275" t="n">
        <v>274</v>
      </c>
    </row>
    <row r="276">
      <c r="A276" t="n">
        <v>275</v>
      </c>
    </row>
    <row r="277">
      <c r="A277" t="n">
        <v>276</v>
      </c>
    </row>
    <row r="278">
      <c r="A278" t="n">
        <v>277</v>
      </c>
    </row>
    <row r="279">
      <c r="A279" t="n">
        <v>278</v>
      </c>
    </row>
    <row r="280">
      <c r="A280" t="n">
        <v>279</v>
      </c>
    </row>
    <row r="281">
      <c r="A281" t="n">
        <v>280</v>
      </c>
    </row>
    <row r="282">
      <c r="A282" t="n">
        <v>281</v>
      </c>
    </row>
    <row r="283">
      <c r="A283" t="n">
        <v>282</v>
      </c>
    </row>
    <row r="284">
      <c r="A284" t="n">
        <v>283</v>
      </c>
    </row>
    <row r="285">
      <c r="A285" t="n">
        <v>284</v>
      </c>
    </row>
    <row r="286">
      <c r="A286" t="n">
        <v>285</v>
      </c>
    </row>
    <row r="287">
      <c r="A287" t="n">
        <v>286</v>
      </c>
    </row>
    <row r="288">
      <c r="A288" t="n">
        <v>287</v>
      </c>
    </row>
    <row r="289">
      <c r="A289" t="n">
        <v>288</v>
      </c>
    </row>
    <row r="290">
      <c r="A290" t="n">
        <v>289</v>
      </c>
    </row>
    <row r="291">
      <c r="A291" t="n">
        <v>290</v>
      </c>
    </row>
    <row r="292">
      <c r="A292" t="n">
        <v>291</v>
      </c>
    </row>
    <row r="293">
      <c r="A293" t="n">
        <v>292</v>
      </c>
    </row>
    <row r="294">
      <c r="A294" t="n">
        <v>293</v>
      </c>
    </row>
    <row r="295">
      <c r="A295" t="n">
        <v>294</v>
      </c>
    </row>
    <row r="296">
      <c r="A296" t="n">
        <v>295</v>
      </c>
    </row>
    <row r="297">
      <c r="A297" t="n">
        <v>296</v>
      </c>
    </row>
    <row r="298">
      <c r="A298" t="n">
        <v>297</v>
      </c>
    </row>
    <row r="299">
      <c r="A299" t="n">
        <v>298</v>
      </c>
    </row>
    <row r="300">
      <c r="A300" t="n">
        <v>299</v>
      </c>
    </row>
    <row r="301">
      <c r="A301" t="n">
        <v>300</v>
      </c>
    </row>
    <row r="302">
      <c r="A302" t="n">
        <v>301</v>
      </c>
    </row>
    <row r="303">
      <c r="A303" t="n">
        <v>302</v>
      </c>
    </row>
    <row r="304">
      <c r="A304" t="n">
        <v>303</v>
      </c>
    </row>
    <row r="305">
      <c r="A305" t="n">
        <v>304</v>
      </c>
    </row>
    <row r="306">
      <c r="A306" t="n">
        <v>305</v>
      </c>
    </row>
    <row r="307">
      <c r="A307" t="n">
        <v>306</v>
      </c>
    </row>
    <row r="308">
      <c r="A308" t="n">
        <v>307</v>
      </c>
    </row>
    <row r="309">
      <c r="A309" t="n">
        <v>308</v>
      </c>
    </row>
    <row r="310">
      <c r="A310" t="n">
        <v>309</v>
      </c>
    </row>
    <row r="311">
      <c r="A311" t="n">
        <v>310</v>
      </c>
    </row>
    <row r="312">
      <c r="A312" t="n">
        <v>311</v>
      </c>
    </row>
    <row r="313">
      <c r="A313" t="n">
        <v>312</v>
      </c>
    </row>
    <row r="314">
      <c r="A314" t="n">
        <v>313</v>
      </c>
    </row>
    <row r="315">
      <c r="A315" t="n">
        <v>314</v>
      </c>
    </row>
    <row r="316">
      <c r="A316" t="n">
        <v>315</v>
      </c>
    </row>
    <row r="317">
      <c r="A317" t="n">
        <v>316</v>
      </c>
    </row>
    <row r="318">
      <c r="A318" t="n">
        <v>317</v>
      </c>
    </row>
    <row r="319">
      <c r="A319" t="n">
        <v>318</v>
      </c>
    </row>
    <row r="320">
      <c r="A320" t="n">
        <v>319</v>
      </c>
    </row>
    <row r="321">
      <c r="A321" t="n">
        <v>320</v>
      </c>
    </row>
    <row r="322">
      <c r="A322" t="n">
        <v>321</v>
      </c>
    </row>
    <row r="323">
      <c r="A323" t="n">
        <v>322</v>
      </c>
    </row>
    <row r="324">
      <c r="A324" t="n">
        <v>323</v>
      </c>
    </row>
    <row r="325">
      <c r="A325" t="n">
        <v>324</v>
      </c>
    </row>
    <row r="326">
      <c r="A326" t="n">
        <v>325</v>
      </c>
    </row>
    <row r="327">
      <c r="A327" t="n">
        <v>326</v>
      </c>
    </row>
    <row r="328">
      <c r="A328" t="n">
        <v>327</v>
      </c>
    </row>
    <row r="329">
      <c r="A329" t="n">
        <v>328</v>
      </c>
    </row>
    <row r="330">
      <c r="A330" t="n">
        <v>329</v>
      </c>
    </row>
    <row r="331">
      <c r="A331" t="n">
        <v>330</v>
      </c>
    </row>
    <row r="332">
      <c r="A332" t="n">
        <v>331</v>
      </c>
    </row>
    <row r="333">
      <c r="A333" t="n">
        <v>332</v>
      </c>
    </row>
    <row r="334">
      <c r="A334" t="n">
        <v>333</v>
      </c>
    </row>
    <row r="335">
      <c r="A335" t="n">
        <v>334</v>
      </c>
    </row>
    <row r="336">
      <c r="A336" t="n">
        <v>335</v>
      </c>
    </row>
    <row r="337">
      <c r="A337" t="n">
        <v>336</v>
      </c>
    </row>
    <row r="338">
      <c r="A338" t="n">
        <v>337</v>
      </c>
    </row>
    <row r="339">
      <c r="A339" t="n">
        <v>338</v>
      </c>
    </row>
    <row r="340">
      <c r="A340" t="n">
        <v>339</v>
      </c>
    </row>
    <row r="341">
      <c r="A341" t="n">
        <v>340</v>
      </c>
    </row>
    <row r="342">
      <c r="A342" t="n">
        <v>341</v>
      </c>
    </row>
    <row r="343">
      <c r="A343" t="n">
        <v>342</v>
      </c>
    </row>
    <row r="344">
      <c r="A344" t="n">
        <v>343</v>
      </c>
    </row>
    <row r="345">
      <c r="A345" t="n">
        <v>344</v>
      </c>
    </row>
    <row r="346">
      <c r="A346" t="n">
        <v>345</v>
      </c>
    </row>
    <row r="347">
      <c r="A347" t="n">
        <v>346</v>
      </c>
    </row>
    <row r="348">
      <c r="A348" t="n">
        <v>347</v>
      </c>
    </row>
    <row r="349">
      <c r="A349" t="n">
        <v>348</v>
      </c>
    </row>
    <row r="350">
      <c r="A350" t="n">
        <v>349</v>
      </c>
    </row>
    <row r="351">
      <c r="A351" t="n">
        <v>350</v>
      </c>
    </row>
    <row r="352">
      <c r="A352" t="n">
        <v>351</v>
      </c>
    </row>
    <row r="353">
      <c r="A353" t="n">
        <v>352</v>
      </c>
    </row>
    <row r="354">
      <c r="A354" t="n">
        <v>353</v>
      </c>
    </row>
    <row r="355">
      <c r="A355" t="n">
        <v>354</v>
      </c>
    </row>
    <row r="356">
      <c r="A356" t="n">
        <v>355</v>
      </c>
    </row>
    <row r="357">
      <c r="A357" t="n">
        <v>356</v>
      </c>
    </row>
    <row r="358">
      <c r="A358" t="n">
        <v>357</v>
      </c>
    </row>
    <row r="359">
      <c r="A359" t="n">
        <v>358</v>
      </c>
    </row>
    <row r="360">
      <c r="A360" t="n">
        <v>359</v>
      </c>
    </row>
    <row r="361">
      <c r="A361" t="n">
        <v>360</v>
      </c>
    </row>
    <row r="362">
      <c r="A362" t="n">
        <v>361</v>
      </c>
    </row>
    <row r="363">
      <c r="A363" t="n">
        <v>362</v>
      </c>
    </row>
    <row r="364">
      <c r="A364" t="n">
        <v>363</v>
      </c>
    </row>
    <row r="365">
      <c r="A365" t="n">
        <v>364</v>
      </c>
    </row>
    <row r="366">
      <c r="A366" t="n">
        <v>365</v>
      </c>
    </row>
    <row r="367">
      <c r="A367" t="n">
        <v>366</v>
      </c>
    </row>
    <row r="368">
      <c r="A368" t="n">
        <v>367</v>
      </c>
    </row>
    <row r="369">
      <c r="A369" t="n">
        <v>368</v>
      </c>
    </row>
    <row r="370">
      <c r="A370" t="n">
        <v>369</v>
      </c>
    </row>
    <row r="371">
      <c r="A371" t="n">
        <v>370</v>
      </c>
    </row>
    <row r="372">
      <c r="A372" t="n">
        <v>371</v>
      </c>
    </row>
    <row r="373">
      <c r="A373" t="n">
        <v>372</v>
      </c>
    </row>
    <row r="374">
      <c r="A374" t="n">
        <v>373</v>
      </c>
    </row>
    <row r="375">
      <c r="A375" t="n">
        <v>374</v>
      </c>
    </row>
    <row r="376">
      <c r="A376" t="n">
        <v>375</v>
      </c>
    </row>
    <row r="377">
      <c r="A377" t="n">
        <v>376</v>
      </c>
    </row>
    <row r="378">
      <c r="A378" t="n">
        <v>377</v>
      </c>
    </row>
    <row r="379">
      <c r="A379" t="n">
        <v>378</v>
      </c>
    </row>
    <row r="380">
      <c r="A380" t="n">
        <v>379</v>
      </c>
    </row>
    <row r="381">
      <c r="A381" t="n">
        <v>380</v>
      </c>
    </row>
    <row r="382">
      <c r="A382" t="n">
        <v>381</v>
      </c>
    </row>
    <row r="383">
      <c r="A383" t="n">
        <v>382</v>
      </c>
    </row>
    <row r="384">
      <c r="A384" t="n">
        <v>383</v>
      </c>
    </row>
    <row r="385">
      <c r="A385" t="n">
        <v>384</v>
      </c>
    </row>
    <row r="386">
      <c r="A386" t="n">
        <v>385</v>
      </c>
    </row>
    <row r="387">
      <c r="A387" t="n">
        <v>386</v>
      </c>
    </row>
    <row r="388">
      <c r="A388" t="n">
        <v>387</v>
      </c>
    </row>
    <row r="389">
      <c r="A389" t="n">
        <v>388</v>
      </c>
    </row>
    <row r="390">
      <c r="A390" t="n">
        <v>389</v>
      </c>
    </row>
    <row r="391">
      <c r="A391" t="n">
        <v>390</v>
      </c>
    </row>
    <row r="392">
      <c r="A392" t="n">
        <v>391</v>
      </c>
    </row>
    <row r="393">
      <c r="A393" t="n">
        <v>392</v>
      </c>
    </row>
    <row r="394">
      <c r="A394" t="n">
        <v>393</v>
      </c>
    </row>
    <row r="395">
      <c r="A395" t="n">
        <v>394</v>
      </c>
    </row>
    <row r="396">
      <c r="A396" t="n">
        <v>395</v>
      </c>
    </row>
    <row r="397">
      <c r="A397" t="n">
        <v>396</v>
      </c>
    </row>
    <row r="398">
      <c r="A398" t="n">
        <v>397</v>
      </c>
    </row>
    <row r="399">
      <c r="A399" t="n">
        <v>398</v>
      </c>
    </row>
    <row r="400">
      <c r="A400" t="n">
        <v>399</v>
      </c>
    </row>
    <row r="401">
      <c r="A401" t="n">
        <v>400</v>
      </c>
    </row>
    <row r="402">
      <c r="A402" t="n">
        <v>401</v>
      </c>
    </row>
    <row r="403">
      <c r="A403" t="n">
        <v>402</v>
      </c>
    </row>
    <row r="404">
      <c r="A404" t="n">
        <v>403</v>
      </c>
    </row>
    <row r="405">
      <c r="A405" t="n">
        <v>404</v>
      </c>
    </row>
    <row r="406">
      <c r="A406" t="n">
        <v>405</v>
      </c>
    </row>
    <row r="407">
      <c r="A407" t="n">
        <v>406</v>
      </c>
    </row>
    <row r="408">
      <c r="A408" t="n">
        <v>407</v>
      </c>
    </row>
    <row r="409">
      <c r="A409" t="n">
        <v>408</v>
      </c>
    </row>
    <row r="410">
      <c r="A410" t="n">
        <v>409</v>
      </c>
    </row>
    <row r="411">
      <c r="A411" t="n">
        <v>410</v>
      </c>
    </row>
    <row r="412">
      <c r="A412" t="n">
        <v>411</v>
      </c>
    </row>
    <row r="413">
      <c r="A413" t="n">
        <v>412</v>
      </c>
    </row>
    <row r="414">
      <c r="A414" t="n">
        <v>413</v>
      </c>
    </row>
    <row r="415">
      <c r="A415" t="n">
        <v>414</v>
      </c>
    </row>
    <row r="416">
      <c r="A416" t="n">
        <v>415</v>
      </c>
    </row>
    <row r="417">
      <c r="A417" t="n">
        <v>416</v>
      </c>
    </row>
    <row r="418">
      <c r="A418" t="n">
        <v>417</v>
      </c>
    </row>
    <row r="419">
      <c r="A419" t="n">
        <v>418</v>
      </c>
    </row>
    <row r="420">
      <c r="A420" t="n">
        <v>419</v>
      </c>
    </row>
    <row r="421">
      <c r="A421" t="n">
        <v>420</v>
      </c>
    </row>
    <row r="422">
      <c r="A422" t="n">
        <v>421</v>
      </c>
    </row>
    <row r="423">
      <c r="A423" t="n">
        <v>422</v>
      </c>
    </row>
    <row r="424">
      <c r="A424" t="n">
        <v>423</v>
      </c>
    </row>
    <row r="425">
      <c r="A425" t="n">
        <v>424</v>
      </c>
    </row>
    <row r="426">
      <c r="A426" t="n">
        <v>425</v>
      </c>
    </row>
    <row r="427">
      <c r="A427" t="n">
        <v>426</v>
      </c>
    </row>
    <row r="428">
      <c r="A428" t="n">
        <v>427</v>
      </c>
    </row>
    <row r="429">
      <c r="A429" t="n">
        <v>428</v>
      </c>
    </row>
    <row r="430">
      <c r="A430" t="n">
        <v>429</v>
      </c>
    </row>
    <row r="431">
      <c r="A431" t="n">
        <v>430</v>
      </c>
    </row>
    <row r="432">
      <c r="A432" t="n">
        <v>431</v>
      </c>
    </row>
    <row r="433">
      <c r="A433" t="n">
        <v>432</v>
      </c>
    </row>
    <row r="434">
      <c r="A434" t="n">
        <v>433</v>
      </c>
    </row>
    <row r="435">
      <c r="A435" t="n">
        <v>434</v>
      </c>
    </row>
    <row r="436">
      <c r="A436" t="n">
        <v>435</v>
      </c>
    </row>
    <row r="437">
      <c r="A437" t="n">
        <v>436</v>
      </c>
    </row>
    <row r="438">
      <c r="A438" t="n">
        <v>437</v>
      </c>
    </row>
    <row r="439">
      <c r="A439" t="n">
        <v>438</v>
      </c>
    </row>
    <row r="440">
      <c r="A440" t="n">
        <v>439</v>
      </c>
    </row>
    <row r="441">
      <c r="A441" t="n">
        <v>440</v>
      </c>
    </row>
    <row r="442">
      <c r="A442" t="n">
        <v>441</v>
      </c>
    </row>
    <row r="443">
      <c r="A443" t="n">
        <v>442</v>
      </c>
    </row>
    <row r="444">
      <c r="A444" t="n">
        <v>443</v>
      </c>
    </row>
    <row r="445">
      <c r="A445" t="n">
        <v>444</v>
      </c>
    </row>
    <row r="446">
      <c r="A446" t="n">
        <v>445</v>
      </c>
    </row>
    <row r="447">
      <c r="A447" t="n">
        <v>446</v>
      </c>
    </row>
    <row r="448">
      <c r="A448" t="n">
        <v>447</v>
      </c>
    </row>
    <row r="449">
      <c r="A449" t="n">
        <v>448</v>
      </c>
    </row>
    <row r="450">
      <c r="A450" t="n">
        <v>449</v>
      </c>
    </row>
    <row r="451">
      <c r="A451" t="n">
        <v>450</v>
      </c>
    </row>
    <row r="452">
      <c r="A452" t="n">
        <v>451</v>
      </c>
    </row>
    <row r="453">
      <c r="A453" t="n">
        <v>452</v>
      </c>
    </row>
    <row r="454">
      <c r="A454" t="n">
        <v>453</v>
      </c>
    </row>
    <row r="455">
      <c r="A455" t="n">
        <v>454</v>
      </c>
    </row>
    <row r="456">
      <c r="A456" t="n">
        <v>455</v>
      </c>
    </row>
    <row r="457">
      <c r="A457" t="n">
        <v>456</v>
      </c>
    </row>
    <row r="458">
      <c r="A458" t="n">
        <v>457</v>
      </c>
    </row>
    <row r="459">
      <c r="A459" t="n">
        <v>458</v>
      </c>
    </row>
    <row r="460">
      <c r="A460" t="n">
        <v>459</v>
      </c>
    </row>
    <row r="461">
      <c r="A461" t="n">
        <v>460</v>
      </c>
    </row>
    <row r="462">
      <c r="A462" t="n">
        <v>461</v>
      </c>
    </row>
    <row r="463">
      <c r="A463" t="n">
        <v>462</v>
      </c>
    </row>
    <row r="464">
      <c r="A464" t="n">
        <v>463</v>
      </c>
    </row>
    <row r="465">
      <c r="A465" t="n">
        <v>464</v>
      </c>
    </row>
    <row r="466">
      <c r="A466" t="n">
        <v>465</v>
      </c>
    </row>
    <row r="467">
      <c r="A467" t="n">
        <v>466</v>
      </c>
    </row>
    <row r="468">
      <c r="A468" t="n">
        <v>467</v>
      </c>
    </row>
    <row r="469">
      <c r="A469" t="n">
        <v>468</v>
      </c>
    </row>
    <row r="470">
      <c r="A470" t="n">
        <v>469</v>
      </c>
    </row>
    <row r="471">
      <c r="A471" t="n">
        <v>470</v>
      </c>
    </row>
    <row r="472">
      <c r="A472" t="n">
        <v>471</v>
      </c>
    </row>
    <row r="473">
      <c r="A473" t="n">
        <v>472</v>
      </c>
    </row>
    <row r="474">
      <c r="A474" t="n">
        <v>473</v>
      </c>
    </row>
    <row r="475">
      <c r="A475" t="n">
        <v>474</v>
      </c>
    </row>
    <row r="476">
      <c r="A476" t="n">
        <v>475</v>
      </c>
    </row>
    <row r="477">
      <c r="A477" t="n">
        <v>476</v>
      </c>
    </row>
    <row r="478">
      <c r="A478" t="n">
        <v>477</v>
      </c>
    </row>
    <row r="479">
      <c r="A479" t="n">
        <v>478</v>
      </c>
    </row>
    <row r="480">
      <c r="A480" t="n">
        <v>479</v>
      </c>
    </row>
    <row r="481">
      <c r="A481" t="n">
        <v>480</v>
      </c>
    </row>
    <row r="482">
      <c r="A482" t="n">
        <v>481</v>
      </c>
    </row>
    <row r="483">
      <c r="A483" t="n">
        <v>482</v>
      </c>
    </row>
    <row r="484">
      <c r="A484" t="n">
        <v>483</v>
      </c>
    </row>
    <row r="485">
      <c r="A485" t="n">
        <v>484</v>
      </c>
    </row>
    <row r="486">
      <c r="A486" t="n">
        <v>485</v>
      </c>
    </row>
    <row r="487">
      <c r="A487" t="n">
        <v>486</v>
      </c>
    </row>
    <row r="488">
      <c r="A488" t="n">
        <v>487</v>
      </c>
    </row>
    <row r="489">
      <c r="A489" t="n">
        <v>488</v>
      </c>
    </row>
    <row r="490">
      <c r="A490" t="n">
        <v>489</v>
      </c>
    </row>
    <row r="491">
      <c r="A491" t="n">
        <v>490</v>
      </c>
    </row>
    <row r="492">
      <c r="A492" t="n">
        <v>491</v>
      </c>
    </row>
    <row r="493">
      <c r="A493" t="n">
        <v>492</v>
      </c>
    </row>
    <row r="494">
      <c r="A494" t="n">
        <v>493</v>
      </c>
    </row>
    <row r="495">
      <c r="A495" t="n">
        <v>494</v>
      </c>
    </row>
    <row r="496">
      <c r="A496" t="n">
        <v>495</v>
      </c>
    </row>
    <row r="497">
      <c r="A497" t="n">
        <v>496</v>
      </c>
    </row>
    <row r="498">
      <c r="A498" t="n">
        <v>497</v>
      </c>
    </row>
    <row r="499">
      <c r="A499" t="n">
        <v>498</v>
      </c>
    </row>
    <row r="500">
      <c r="A500" t="n">
        <v>499</v>
      </c>
    </row>
    <row r="501">
      <c r="A501" t="n">
        <v>500</v>
      </c>
    </row>
  </sheetData>
  <dataValidations count="1">
    <dataValidation sqref="B2:AG501" showDropDown="0" showInputMessage="0" showErrorMessage="0" allowBlank="1" errorTitle="Dato no válido" error="Solo valores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2" customWidth="1" min="4" max="4"/>
    <col width="13" customWidth="1" min="5" max="5"/>
    <col width="13" customWidth="1" min="6" max="6"/>
    <col width="14" customWidth="1" min="7" max="7"/>
  </cols>
  <sheetData>
    <row r="1" ht="48" customHeight="1">
      <c r="A1" s="3" t="inlineStr">
        <is>
          <t>N.º</t>
        </is>
      </c>
      <c r="B1" s="3" t="inlineStr">
        <is>
          <t>Dimensión</t>
        </is>
      </c>
      <c r="C1" s="3" t="inlineStr">
        <is>
          <t>Afirmación</t>
        </is>
      </c>
      <c r="D1" s="3" t="inlineStr">
        <is>
          <t>Respuestas</t>
        </is>
      </c>
      <c r="E1" s="3" t="inlineStr">
        <is>
          <t>% favorable</t>
        </is>
      </c>
      <c r="F1" s="3" t="inlineStr">
        <is>
          <t>% desfavorable</t>
        </is>
      </c>
      <c r="G1" s="3" t="inlineStr">
        <is>
          <t>Promedio (corregido)</t>
        </is>
      </c>
    </row>
    <row r="2">
      <c r="A2" s="4" t="n">
        <v>1</v>
      </c>
      <c r="B2" s="4" t="inlineStr">
        <is>
          <t>Liderazgo de la jefatura directa</t>
        </is>
      </c>
      <c r="C2" s="4" t="inlineStr">
        <is>
          <t>Mi jefatura me da orientaciones claras sobre lo que espera de mi trabajo.</t>
        </is>
      </c>
      <c r="D2" s="4">
        <f>COUNT(Respuestas!B2:B501)</f>
        <v/>
      </c>
      <c r="E2" s="7">
        <f>IFERROR(COUNTIF(Respuestas!B2:B501,"&gt;=4")/D2,"")</f>
        <v/>
      </c>
      <c r="F2" s="7">
        <f>IFERROR(COUNTIF(Respuestas!B2:B501,"&lt;=2")/D2,"")</f>
        <v/>
      </c>
      <c r="G2" s="8">
        <f>IFERROR(AVERAGE(Respuestas!B2:B501),"")</f>
        <v/>
      </c>
    </row>
    <row r="3">
      <c r="A3" s="4" t="n">
        <v>2</v>
      </c>
      <c r="B3" s="4" t="inlineStr">
        <is>
          <t>Liderazgo de la jefatura directa</t>
        </is>
      </c>
      <c r="C3" s="4" t="inlineStr">
        <is>
          <t>Mi jefatura me entrega retroalimentación útil sobre mi desempeño.</t>
        </is>
      </c>
      <c r="D3" s="4">
        <f>COUNT(Respuestas!C2:C501)</f>
        <v/>
      </c>
      <c r="E3" s="7">
        <f>IFERROR(COUNTIF(Respuestas!C2:C501,"&gt;=4")/D3,"")</f>
        <v/>
      </c>
      <c r="F3" s="7">
        <f>IFERROR(COUNTIF(Respuestas!C2:C501,"&lt;=2")/D3,"")</f>
        <v/>
      </c>
      <c r="G3" s="8">
        <f>IFERROR(AVERAGE(Respuestas!C2:C501),"")</f>
        <v/>
      </c>
    </row>
    <row r="4">
      <c r="A4" s="4" t="n">
        <v>3</v>
      </c>
      <c r="B4" s="4" t="inlineStr">
        <is>
          <t>Liderazgo de la jefatura directa</t>
        </is>
      </c>
      <c r="C4" s="4" t="inlineStr">
        <is>
          <t>Mi jefatura trata a todas las personas del equipo con respeto.</t>
        </is>
      </c>
      <c r="D4" s="4">
        <f>COUNT(Respuestas!D2:D501)</f>
        <v/>
      </c>
      <c r="E4" s="7">
        <f>IFERROR(COUNTIF(Respuestas!D2:D501,"&gt;=4")/D4,"")</f>
        <v/>
      </c>
      <c r="F4" s="7">
        <f>IFERROR(COUNTIF(Respuestas!D2:D501,"&lt;=2")/D4,"")</f>
        <v/>
      </c>
      <c r="G4" s="8">
        <f>IFERROR(AVERAGE(Respuestas!D2:D501),"")</f>
        <v/>
      </c>
    </row>
    <row r="5">
      <c r="A5" s="4" t="n">
        <v>4</v>
      </c>
      <c r="B5" s="4" t="inlineStr">
        <is>
          <t>Liderazgo de la jefatura directa</t>
        </is>
      </c>
      <c r="C5" s="4" t="inlineStr">
        <is>
          <t>Siento que puedo plantearle un problema a mi jefatura sin temor a represalias.</t>
        </is>
      </c>
      <c r="D5" s="4">
        <f>COUNT(Respuestas!E2:E501)</f>
        <v/>
      </c>
      <c r="E5" s="7">
        <f>IFERROR(COUNTIF(Respuestas!E2:E501,"&gt;=4")/D5,"")</f>
        <v/>
      </c>
      <c r="F5" s="7">
        <f>IFERROR(COUNTIF(Respuestas!E2:E501,"&lt;=2")/D5,"")</f>
        <v/>
      </c>
      <c r="G5" s="8">
        <f>IFERROR(AVERAGE(Respuestas!E2:E501),"")</f>
        <v/>
      </c>
    </row>
    <row r="6">
      <c r="A6" s="4" t="n">
        <v>5</v>
      </c>
      <c r="B6" s="4" t="inlineStr">
        <is>
          <t>Comunicación</t>
        </is>
      </c>
      <c r="C6" s="4" t="inlineStr">
        <is>
          <t>Me entero a tiempo de las decisiones que afectan mi trabajo.</t>
        </is>
      </c>
      <c r="D6" s="4">
        <f>COUNT(Respuestas!F2:F501)</f>
        <v/>
      </c>
      <c r="E6" s="7">
        <f>IFERROR(COUNTIF(Respuestas!F2:F501,"&gt;=4")/D6,"")</f>
        <v/>
      </c>
      <c r="F6" s="7">
        <f>IFERROR(COUNTIF(Respuestas!F2:F501,"&lt;=2")/D6,"")</f>
        <v/>
      </c>
      <c r="G6" s="8">
        <f>IFERROR(AVERAGE(Respuestas!F2:F501),"")</f>
        <v/>
      </c>
    </row>
    <row r="7">
      <c r="A7" s="4" t="n">
        <v>6</v>
      </c>
      <c r="B7" s="4" t="inlineStr">
        <is>
          <t>Comunicación</t>
        </is>
      </c>
      <c r="C7" s="4" t="inlineStr">
        <is>
          <t>La información llega de manera clara entre las distintas áreas.</t>
        </is>
      </c>
      <c r="D7" s="4">
        <f>COUNT(Respuestas!G2:G501)</f>
        <v/>
      </c>
      <c r="E7" s="7">
        <f>IFERROR(COUNTIF(Respuestas!G2:G501,"&gt;=4")/D7,"")</f>
        <v/>
      </c>
      <c r="F7" s="7">
        <f>IFERROR(COUNTIF(Respuestas!G2:G501,"&lt;=2")/D7,"")</f>
        <v/>
      </c>
      <c r="G7" s="8">
        <f>IFERROR(AVERAGE(Respuestas!G2:G501),"")</f>
        <v/>
      </c>
    </row>
    <row r="8">
      <c r="A8" s="4" t="n">
        <v>7</v>
      </c>
      <c r="B8" s="4" t="inlineStr">
        <is>
          <t>Comunicación</t>
        </is>
      </c>
      <c r="C8" s="4" t="inlineStr">
        <is>
          <t>Con frecuencia me entero de cosas importantes por rumores. (I)</t>
        </is>
      </c>
      <c r="D8" s="4">
        <f>COUNT(Respuestas!H2:H501)</f>
        <v/>
      </c>
      <c r="E8" s="7">
        <f>IFERROR(COUNTIF(Respuestas!H2:H501,"&lt;=2")/D8,"")</f>
        <v/>
      </c>
      <c r="F8" s="7">
        <f>IFERROR(COUNTIF(Respuestas!H2:H501,"&gt;=4")/D8,"")</f>
        <v/>
      </c>
      <c r="G8" s="8">
        <f>IFERROR(6-AVERAGE(Respuestas!H2:H501),"")</f>
        <v/>
      </c>
    </row>
    <row r="9">
      <c r="A9" s="4" t="n">
        <v>8</v>
      </c>
      <c r="B9" s="4" t="inlineStr">
        <is>
          <t>Comunicación</t>
        </is>
      </c>
      <c r="C9" s="4" t="inlineStr">
        <is>
          <t>Cuando doy una opinión o sugerencia, siento que es considerada.</t>
        </is>
      </c>
      <c r="D9" s="4">
        <f>COUNT(Respuestas!I2:I501)</f>
        <v/>
      </c>
      <c r="E9" s="7">
        <f>IFERROR(COUNTIF(Respuestas!I2:I501,"&gt;=4")/D9,"")</f>
        <v/>
      </c>
      <c r="F9" s="7">
        <f>IFERROR(COUNTIF(Respuestas!I2:I501,"&lt;=2")/D9,"")</f>
        <v/>
      </c>
      <c r="G9" s="8">
        <f>IFERROR(AVERAGE(Respuestas!I2:I501),"")</f>
        <v/>
      </c>
    </row>
    <row r="10">
      <c r="A10" s="4" t="n">
        <v>9</v>
      </c>
      <c r="B10" s="4" t="inlineStr">
        <is>
          <t>Relaciones y trabajo en equipo</t>
        </is>
      </c>
      <c r="C10" s="4" t="inlineStr">
        <is>
          <t>En mi equipo nos ayudamos cuando alguien lo necesita.</t>
        </is>
      </c>
      <c r="D10" s="4">
        <f>COUNT(Respuestas!J2:J501)</f>
        <v/>
      </c>
      <c r="E10" s="7">
        <f>IFERROR(COUNTIF(Respuestas!J2:J501,"&gt;=4")/D10,"")</f>
        <v/>
      </c>
      <c r="F10" s="7">
        <f>IFERROR(COUNTIF(Respuestas!J2:J501,"&lt;=2")/D10,"")</f>
        <v/>
      </c>
      <c r="G10" s="8">
        <f>IFERROR(AVERAGE(Respuestas!J2:J501),"")</f>
        <v/>
      </c>
    </row>
    <row r="11">
      <c r="A11" s="4" t="n">
        <v>10</v>
      </c>
      <c r="B11" s="4" t="inlineStr">
        <is>
          <t>Relaciones y trabajo en equipo</t>
        </is>
      </c>
      <c r="C11" s="4" t="inlineStr">
        <is>
          <t>Las relaciones con mis compañeros son de respeto.</t>
        </is>
      </c>
      <c r="D11" s="4">
        <f>COUNT(Respuestas!K2:K501)</f>
        <v/>
      </c>
      <c r="E11" s="7">
        <f>IFERROR(COUNTIF(Respuestas!K2:K501,"&gt;=4")/D11,"")</f>
        <v/>
      </c>
      <c r="F11" s="7">
        <f>IFERROR(COUNTIF(Respuestas!K2:K501,"&lt;=2")/D11,"")</f>
        <v/>
      </c>
      <c r="G11" s="8">
        <f>IFERROR(AVERAGE(Respuestas!K2:K501),"")</f>
        <v/>
      </c>
    </row>
    <row r="12">
      <c r="A12" s="4" t="n">
        <v>11</v>
      </c>
      <c r="B12" s="4" t="inlineStr">
        <is>
          <t>Relaciones y trabajo en equipo</t>
        </is>
      </c>
      <c r="C12" s="4" t="inlineStr">
        <is>
          <t>Los conflictos en mi equipo se conversan y se resuelven.</t>
        </is>
      </c>
      <c r="D12" s="4">
        <f>COUNT(Respuestas!L2:L501)</f>
        <v/>
      </c>
      <c r="E12" s="7">
        <f>IFERROR(COUNTIF(Respuestas!L2:L501,"&gt;=4")/D12,"")</f>
        <v/>
      </c>
      <c r="F12" s="7">
        <f>IFERROR(COUNTIF(Respuestas!L2:L501,"&lt;=2")/D12,"")</f>
        <v/>
      </c>
      <c r="G12" s="8">
        <f>IFERROR(AVERAGE(Respuestas!L2:L501),"")</f>
        <v/>
      </c>
    </row>
    <row r="13">
      <c r="A13" s="4" t="n">
        <v>12</v>
      </c>
      <c r="B13" s="4" t="inlineStr">
        <is>
          <t>Relaciones y trabajo en equipo</t>
        </is>
      </c>
      <c r="C13" s="4" t="inlineStr">
        <is>
          <t>Existe colaboración entre mi área y las demás áreas.</t>
        </is>
      </c>
      <c r="D13" s="4">
        <f>COUNT(Respuestas!M2:M501)</f>
        <v/>
      </c>
      <c r="E13" s="7">
        <f>IFERROR(COUNTIF(Respuestas!M2:M501,"&gt;=4")/D13,"")</f>
        <v/>
      </c>
      <c r="F13" s="7">
        <f>IFERROR(COUNTIF(Respuestas!M2:M501,"&lt;=2")/D13,"")</f>
        <v/>
      </c>
      <c r="G13" s="8">
        <f>IFERROR(AVERAGE(Respuestas!M2:M501),"")</f>
        <v/>
      </c>
    </row>
    <row r="14">
      <c r="A14" s="4" t="n">
        <v>13</v>
      </c>
      <c r="B14" s="4" t="inlineStr">
        <is>
          <t>Reconocimiento</t>
        </is>
      </c>
      <c r="C14" s="4" t="inlineStr">
        <is>
          <t>Cuando hago bien mi trabajo, se reconoce.</t>
        </is>
      </c>
      <c r="D14" s="4">
        <f>COUNT(Respuestas!N2:N501)</f>
        <v/>
      </c>
      <c r="E14" s="7">
        <f>IFERROR(COUNTIF(Respuestas!N2:N501,"&gt;=4")/D14,"")</f>
        <v/>
      </c>
      <c r="F14" s="7">
        <f>IFERROR(COUNTIF(Respuestas!N2:N501,"&lt;=2")/D14,"")</f>
        <v/>
      </c>
      <c r="G14" s="8">
        <f>IFERROR(AVERAGE(Respuestas!N2:N501),"")</f>
        <v/>
      </c>
    </row>
    <row r="15">
      <c r="A15" s="4" t="n">
        <v>14</v>
      </c>
      <c r="B15" s="4" t="inlineStr">
        <is>
          <t>Reconocimiento</t>
        </is>
      </c>
      <c r="C15" s="4" t="inlineStr">
        <is>
          <t>Siento que mi remuneración es justa en relación con mi trabajo.</t>
        </is>
      </c>
      <c r="D15" s="4">
        <f>COUNT(Respuestas!O2:O501)</f>
        <v/>
      </c>
      <c r="E15" s="7">
        <f>IFERROR(COUNTIF(Respuestas!O2:O501,"&gt;=4")/D15,"")</f>
        <v/>
      </c>
      <c r="F15" s="7">
        <f>IFERROR(COUNTIF(Respuestas!O2:O501,"&lt;=2")/D15,"")</f>
        <v/>
      </c>
      <c r="G15" s="8">
        <f>IFERROR(AVERAGE(Respuestas!O2:O501),"")</f>
        <v/>
      </c>
    </row>
    <row r="16">
      <c r="A16" s="4" t="n">
        <v>15</v>
      </c>
      <c r="B16" s="4" t="inlineStr">
        <is>
          <t>Reconocimiento</t>
        </is>
      </c>
      <c r="C16" s="4" t="inlineStr">
        <is>
          <t>Los criterios para reconocer o premiar a las personas son claros.</t>
        </is>
      </c>
      <c r="D16" s="4">
        <f>COUNT(Respuestas!P2:P501)</f>
        <v/>
      </c>
      <c r="E16" s="7">
        <f>IFERROR(COUNTIF(Respuestas!P2:P501,"&gt;=4")/D16,"")</f>
        <v/>
      </c>
      <c r="F16" s="7">
        <f>IFERROR(COUNTIF(Respuestas!P2:P501,"&lt;=2")/D16,"")</f>
        <v/>
      </c>
      <c r="G16" s="8">
        <f>IFERROR(AVERAGE(Respuestas!P2:P501),"")</f>
        <v/>
      </c>
    </row>
    <row r="17">
      <c r="A17" s="4" t="n">
        <v>16</v>
      </c>
      <c r="B17" s="4" t="inlineStr">
        <is>
          <t>Reconocimiento</t>
        </is>
      </c>
      <c r="C17" s="4" t="inlineStr">
        <is>
          <t>Siento que mi esfuerzo pasa desapercibido. (I)</t>
        </is>
      </c>
      <c r="D17" s="4">
        <f>COUNT(Respuestas!Q2:Q501)</f>
        <v/>
      </c>
      <c r="E17" s="7">
        <f>IFERROR(COUNTIF(Respuestas!Q2:Q501,"&lt;=2")/D17,"")</f>
        <v/>
      </c>
      <c r="F17" s="7">
        <f>IFERROR(COUNTIF(Respuestas!Q2:Q501,"&gt;=4")/D17,"")</f>
        <v/>
      </c>
      <c r="G17" s="8">
        <f>IFERROR(6-AVERAGE(Respuestas!Q2:Q501),"")</f>
        <v/>
      </c>
    </row>
    <row r="18">
      <c r="A18" s="4" t="n">
        <v>17</v>
      </c>
      <c r="B18" s="4" t="inlineStr">
        <is>
          <t>Carga y organización del trabajo</t>
        </is>
      </c>
      <c r="C18" s="4" t="inlineStr">
        <is>
          <t>Puedo realizar mi trabajo dentro de mi jornada habitual.</t>
        </is>
      </c>
      <c r="D18" s="4">
        <f>COUNT(Respuestas!R2:R501)</f>
        <v/>
      </c>
      <c r="E18" s="7">
        <f>IFERROR(COUNTIF(Respuestas!R2:R501,"&gt;=4")/D18,"")</f>
        <v/>
      </c>
      <c r="F18" s="7">
        <f>IFERROR(COUNTIF(Respuestas!R2:R501,"&lt;=2")/D18,"")</f>
        <v/>
      </c>
      <c r="G18" s="8">
        <f>IFERROR(AVERAGE(Respuestas!R2:R501),"")</f>
        <v/>
      </c>
    </row>
    <row r="19">
      <c r="A19" s="4" t="n">
        <v>18</v>
      </c>
      <c r="B19" s="4" t="inlineStr">
        <is>
          <t>Carga y organización del trabajo</t>
        </is>
      </c>
      <c r="C19" s="4" t="inlineStr">
        <is>
          <t>La carga de trabajo está bien distribuida en mi equipo.</t>
        </is>
      </c>
      <c r="D19" s="4">
        <f>COUNT(Respuestas!S2:S501)</f>
        <v/>
      </c>
      <c r="E19" s="7">
        <f>IFERROR(COUNTIF(Respuestas!S2:S501,"&gt;=4")/D19,"")</f>
        <v/>
      </c>
      <c r="F19" s="7">
        <f>IFERROR(COUNTIF(Respuestas!S2:S501,"&lt;=2")/D19,"")</f>
        <v/>
      </c>
      <c r="G19" s="8">
        <f>IFERROR(AVERAGE(Respuestas!S2:S501),"")</f>
        <v/>
      </c>
    </row>
    <row r="20">
      <c r="A20" s="4" t="n">
        <v>19</v>
      </c>
      <c r="B20" s="4" t="inlineStr">
        <is>
          <t>Carga y organización del trabajo</t>
        </is>
      </c>
      <c r="C20" s="4" t="inlineStr">
        <is>
          <t>Con frecuencia tengo que trabajar con plazos imposibles de cumplir. (I)</t>
        </is>
      </c>
      <c r="D20" s="4">
        <f>COUNT(Respuestas!T2:T501)</f>
        <v/>
      </c>
      <c r="E20" s="7">
        <f>IFERROR(COUNTIF(Respuestas!T2:T501,"&lt;=2")/D20,"")</f>
        <v/>
      </c>
      <c r="F20" s="7">
        <f>IFERROR(COUNTIF(Respuestas!T2:T501,"&gt;=4")/D20,"")</f>
        <v/>
      </c>
      <c r="G20" s="8">
        <f>IFERROR(6-AVERAGE(Respuestas!T2:T501),"")</f>
        <v/>
      </c>
    </row>
    <row r="21">
      <c r="A21" s="4" t="n">
        <v>20</v>
      </c>
      <c r="B21" s="4" t="inlineStr">
        <is>
          <t>Carga y organización del trabajo</t>
        </is>
      </c>
      <c r="C21" s="4" t="inlineStr">
        <is>
          <t>Puedo compatibilizar mi trabajo con mi vida personal.</t>
        </is>
      </c>
      <c r="D21" s="4">
        <f>COUNT(Respuestas!U2:U501)</f>
        <v/>
      </c>
      <c r="E21" s="7">
        <f>IFERROR(COUNTIF(Respuestas!U2:U501,"&gt;=4")/D21,"")</f>
        <v/>
      </c>
      <c r="F21" s="7">
        <f>IFERROR(COUNTIF(Respuestas!U2:U501,"&lt;=2")/D21,"")</f>
        <v/>
      </c>
      <c r="G21" s="8">
        <f>IFERROR(AVERAGE(Respuestas!U2:U501),"")</f>
        <v/>
      </c>
    </row>
    <row r="22">
      <c r="A22" s="4" t="n">
        <v>21</v>
      </c>
      <c r="B22" s="4" t="inlineStr">
        <is>
          <t>Condiciones y recursos</t>
        </is>
      </c>
      <c r="C22" s="4" t="inlineStr">
        <is>
          <t>Cuento con los materiales y equipos necesarios para hacer bien mi trabajo.</t>
        </is>
      </c>
      <c r="D22" s="4">
        <f>COUNT(Respuestas!V2:V501)</f>
        <v/>
      </c>
      <c r="E22" s="7">
        <f>IFERROR(COUNTIF(Respuestas!V2:V501,"&gt;=4")/D22,"")</f>
        <v/>
      </c>
      <c r="F22" s="7">
        <f>IFERROR(COUNTIF(Respuestas!V2:V501,"&lt;=2")/D22,"")</f>
        <v/>
      </c>
      <c r="G22" s="8">
        <f>IFERROR(AVERAGE(Respuestas!V2:V501),"")</f>
        <v/>
      </c>
    </row>
    <row r="23">
      <c r="A23" s="4" t="n">
        <v>22</v>
      </c>
      <c r="B23" s="4" t="inlineStr">
        <is>
          <t>Condiciones y recursos</t>
        </is>
      </c>
      <c r="C23" s="4" t="inlineStr">
        <is>
          <t>Mi lugar de trabajo es seguro.</t>
        </is>
      </c>
      <c r="D23" s="4">
        <f>COUNT(Respuestas!W2:W501)</f>
        <v/>
      </c>
      <c r="E23" s="7">
        <f>IFERROR(COUNTIF(Respuestas!W2:W501,"&gt;=4")/D23,"")</f>
        <v/>
      </c>
      <c r="F23" s="7">
        <f>IFERROR(COUNTIF(Respuestas!W2:W501,"&lt;=2")/D23,"")</f>
        <v/>
      </c>
      <c r="G23" s="8">
        <f>IFERROR(AVERAGE(Respuestas!W2:W501),"")</f>
        <v/>
      </c>
    </row>
    <row r="24">
      <c r="A24" s="4" t="n">
        <v>23</v>
      </c>
      <c r="B24" s="4" t="inlineStr">
        <is>
          <t>Condiciones y recursos</t>
        </is>
      </c>
      <c r="C24" s="4" t="inlineStr">
        <is>
          <t>Mi lugar de trabajo tiene condiciones adecuadas (espacio, ruido, temperatura).</t>
        </is>
      </c>
      <c r="D24" s="4">
        <f>COUNT(Respuestas!X2:X501)</f>
        <v/>
      </c>
      <c r="E24" s="7">
        <f>IFERROR(COUNTIF(Respuestas!X2:X501,"&gt;=4")/D24,"")</f>
        <v/>
      </c>
      <c r="F24" s="7">
        <f>IFERROR(COUNTIF(Respuestas!X2:X501,"&lt;=2")/D24,"")</f>
        <v/>
      </c>
      <c r="G24" s="8">
        <f>IFERROR(AVERAGE(Respuestas!X2:X501),"")</f>
        <v/>
      </c>
    </row>
    <row r="25">
      <c r="A25" s="4" t="n">
        <v>24</v>
      </c>
      <c r="B25" s="4" t="inlineStr">
        <is>
          <t>Condiciones y recursos</t>
        </is>
      </c>
      <c r="C25" s="4" t="inlineStr">
        <is>
          <t>Los sistemas y procedimientos facilitan mi trabajo.</t>
        </is>
      </c>
      <c r="D25" s="4">
        <f>COUNT(Respuestas!Y2:Y501)</f>
        <v/>
      </c>
      <c r="E25" s="7">
        <f>IFERROR(COUNTIF(Respuestas!Y2:Y501,"&gt;=4")/D25,"")</f>
        <v/>
      </c>
      <c r="F25" s="7">
        <f>IFERROR(COUNTIF(Respuestas!Y2:Y501,"&lt;=2")/D25,"")</f>
        <v/>
      </c>
      <c r="G25" s="8">
        <f>IFERROR(AVERAGE(Respuestas!Y2:Y501),"")</f>
        <v/>
      </c>
    </row>
    <row r="26">
      <c r="A26" s="4" t="n">
        <v>25</v>
      </c>
      <c r="B26" s="4" t="inlineStr">
        <is>
          <t>Claridad del rol y desarrollo</t>
        </is>
      </c>
      <c r="C26" s="4" t="inlineStr">
        <is>
          <t>Tengo claras mis funciones y responsabilidades.</t>
        </is>
      </c>
      <c r="D26" s="4">
        <f>COUNT(Respuestas!Z2:Z501)</f>
        <v/>
      </c>
      <c r="E26" s="7">
        <f>IFERROR(COUNTIF(Respuestas!Z2:Z501,"&gt;=4")/D26,"")</f>
        <v/>
      </c>
      <c r="F26" s="7">
        <f>IFERROR(COUNTIF(Respuestas!Z2:Z501,"&lt;=2")/D26,"")</f>
        <v/>
      </c>
      <c r="G26" s="8">
        <f>IFERROR(AVERAGE(Respuestas!Z2:Z501),"")</f>
        <v/>
      </c>
    </row>
    <row r="27">
      <c r="A27" s="4" t="n">
        <v>26</v>
      </c>
      <c r="B27" s="4" t="inlineStr">
        <is>
          <t>Claridad del rol y desarrollo</t>
        </is>
      </c>
      <c r="C27" s="4" t="inlineStr">
        <is>
          <t>He recibido la capacitación necesaria para hacer bien mi trabajo.</t>
        </is>
      </c>
      <c r="D27" s="4">
        <f>COUNT(Respuestas!AA2:AA501)</f>
        <v/>
      </c>
      <c r="E27" s="7">
        <f>IFERROR(COUNTIF(Respuestas!AA2:AA501,"&gt;=4")/D27,"")</f>
        <v/>
      </c>
      <c r="F27" s="7">
        <f>IFERROR(COUNTIF(Respuestas!AA2:AA501,"&lt;=2")/D27,"")</f>
        <v/>
      </c>
      <c r="G27" s="8">
        <f>IFERROR(AVERAGE(Respuestas!AA2:AA501),"")</f>
        <v/>
      </c>
    </row>
    <row r="28">
      <c r="A28" s="4" t="n">
        <v>27</v>
      </c>
      <c r="B28" s="4" t="inlineStr">
        <is>
          <t>Claridad del rol y desarrollo</t>
        </is>
      </c>
      <c r="C28" s="4" t="inlineStr">
        <is>
          <t>En esta organización tengo oportunidades de aprender y crecer.</t>
        </is>
      </c>
      <c r="D28" s="4">
        <f>COUNT(Respuestas!AB2:AB501)</f>
        <v/>
      </c>
      <c r="E28" s="7">
        <f>IFERROR(COUNTIF(Respuestas!AB2:AB501,"&gt;=4")/D28,"")</f>
        <v/>
      </c>
      <c r="F28" s="7">
        <f>IFERROR(COUNTIF(Respuestas!AB2:AB501,"&lt;=2")/D28,"")</f>
        <v/>
      </c>
      <c r="G28" s="8">
        <f>IFERROR(AVERAGE(Respuestas!AB2:AB501),"")</f>
        <v/>
      </c>
    </row>
    <row r="29">
      <c r="A29" s="4" t="n">
        <v>28</v>
      </c>
      <c r="B29" s="4" t="inlineStr">
        <is>
          <t>Claridad del rol y desarrollo</t>
        </is>
      </c>
      <c r="C29" s="4" t="inlineStr">
        <is>
          <t>Los ascensos y cambios de cargo se deciden con criterios claros.</t>
        </is>
      </c>
      <c r="D29" s="4">
        <f>COUNT(Respuestas!AC2:AC501)</f>
        <v/>
      </c>
      <c r="E29" s="7">
        <f>IFERROR(COUNTIF(Respuestas!AC2:AC501,"&gt;=4")/D29,"")</f>
        <v/>
      </c>
      <c r="F29" s="7">
        <f>IFERROR(COUNTIF(Respuestas!AC2:AC501,"&lt;=2")/D29,"")</f>
        <v/>
      </c>
      <c r="G29" s="8">
        <f>IFERROR(AVERAGE(Respuestas!AC2:AC501),"")</f>
        <v/>
      </c>
    </row>
    <row r="30">
      <c r="A30" s="4" t="n">
        <v>29</v>
      </c>
      <c r="B30" s="4" t="inlineStr">
        <is>
          <t>Compromiso y pertenencia</t>
        </is>
      </c>
      <c r="C30" s="4" t="inlineStr">
        <is>
          <t>Me siento orgulloso u orgullosa de trabajar en esta organización.</t>
        </is>
      </c>
      <c r="D30" s="4">
        <f>COUNT(Respuestas!AD2:AD501)</f>
        <v/>
      </c>
      <c r="E30" s="7">
        <f>IFERROR(COUNTIF(Respuestas!AD2:AD501,"&gt;=4")/D30,"")</f>
        <v/>
      </c>
      <c r="F30" s="7">
        <f>IFERROR(COUNTIF(Respuestas!AD2:AD501,"&lt;=2")/D30,"")</f>
        <v/>
      </c>
      <c r="G30" s="8">
        <f>IFERROR(AVERAGE(Respuestas!AD2:AD501),"")</f>
        <v/>
      </c>
    </row>
    <row r="31">
      <c r="A31" s="4" t="n">
        <v>30</v>
      </c>
      <c r="B31" s="4" t="inlineStr">
        <is>
          <t>Compromiso y pertenencia</t>
        </is>
      </c>
      <c r="C31" s="4" t="inlineStr">
        <is>
          <t>Recomendaría esta organización como un buen lugar para trabajar.</t>
        </is>
      </c>
      <c r="D31" s="4">
        <f>COUNT(Respuestas!AE2:AE501)</f>
        <v/>
      </c>
      <c r="E31" s="7">
        <f>IFERROR(COUNTIF(Respuestas!AE2:AE501,"&gt;=4")/D31,"")</f>
        <v/>
      </c>
      <c r="F31" s="7">
        <f>IFERROR(COUNTIF(Respuestas!AE2:AE501,"&lt;=2")/D31,"")</f>
        <v/>
      </c>
      <c r="G31" s="8">
        <f>IFERROR(AVERAGE(Respuestas!AE2:AE501),"")</f>
        <v/>
      </c>
    </row>
    <row r="32">
      <c r="A32" s="4" t="n">
        <v>31</v>
      </c>
      <c r="B32" s="4" t="inlineStr">
        <is>
          <t>Compromiso y pertenencia</t>
        </is>
      </c>
      <c r="C32" s="4" t="inlineStr">
        <is>
          <t>Pienso seguido en buscar trabajo en otra parte. (I)</t>
        </is>
      </c>
      <c r="D32" s="4">
        <f>COUNT(Respuestas!AF2:AF501)</f>
        <v/>
      </c>
      <c r="E32" s="7">
        <f>IFERROR(COUNTIF(Respuestas!AF2:AF501,"&lt;=2")/D32,"")</f>
        <v/>
      </c>
      <c r="F32" s="7">
        <f>IFERROR(COUNTIF(Respuestas!AF2:AF501,"&gt;=4")/D32,"")</f>
        <v/>
      </c>
      <c r="G32" s="8">
        <f>IFERROR(6-AVERAGE(Respuestas!AF2:AF501),"")</f>
        <v/>
      </c>
    </row>
    <row r="33">
      <c r="A33" s="4" t="n">
        <v>32</v>
      </c>
      <c r="B33" s="4" t="inlineStr">
        <is>
          <t>Compromiso y pertenencia</t>
        </is>
      </c>
      <c r="C33" s="4" t="inlineStr">
        <is>
          <t>Entiendo cómo mi trabajo contribuye a los objetivos de la organización.</t>
        </is>
      </c>
      <c r="D33" s="4">
        <f>COUNT(Respuestas!AG2:AG501)</f>
        <v/>
      </c>
      <c r="E33" s="7">
        <f>IFERROR(COUNTIF(Respuestas!AG2:AG501,"&gt;=4")/D33,"")</f>
        <v/>
      </c>
      <c r="F33" s="7">
        <f>IFERROR(COUNTIF(Respuestas!AG2:AG501,"&lt;=2")/D33,"")</f>
        <v/>
      </c>
      <c r="G33" s="8">
        <f>IFERROR(AVERAGE(Respuestas!AG2:AG501),"")</f>
        <v/>
      </c>
    </row>
    <row r="36">
      <c r="A36" s="9" t="inlineStr"/>
      <c r="B36" s="9" t="inlineStr">
        <is>
          <t>Dimensión</t>
        </is>
      </c>
      <c r="C36" s="9" t="inlineStr"/>
      <c r="D36" s="9" t="inlineStr"/>
      <c r="E36" s="9" t="inlineStr">
        <is>
          <t>% favorable</t>
        </is>
      </c>
      <c r="F36" s="9" t="inlineStr">
        <is>
          <t>% desfavorable</t>
        </is>
      </c>
      <c r="G36" s="9" t="inlineStr">
        <is>
          <t>Promedio</t>
        </is>
      </c>
    </row>
    <row r="37">
      <c r="B37" s="10" t="inlineStr">
        <is>
          <t>Liderazgo de la jefatura directa</t>
        </is>
      </c>
      <c r="E37" s="11">
        <f>IFERROR(AVERAGE(E2:E5),"")</f>
        <v/>
      </c>
      <c r="F37" s="11">
        <f>IFERROR(AVERAGE(F2:F5),"")</f>
        <v/>
      </c>
      <c r="G37" s="12">
        <f>IFERROR(AVERAGE(G2:G5),"")</f>
        <v/>
      </c>
    </row>
    <row r="38">
      <c r="B38" s="10" t="inlineStr">
        <is>
          <t>Comunicación</t>
        </is>
      </c>
      <c r="E38" s="11">
        <f>IFERROR(AVERAGE(E6:E9),"")</f>
        <v/>
      </c>
      <c r="F38" s="11">
        <f>IFERROR(AVERAGE(F6:F9),"")</f>
        <v/>
      </c>
      <c r="G38" s="12">
        <f>IFERROR(AVERAGE(G6:G9),"")</f>
        <v/>
      </c>
    </row>
    <row r="39">
      <c r="B39" s="10" t="inlineStr">
        <is>
          <t>Relaciones y trabajo en equipo</t>
        </is>
      </c>
      <c r="E39" s="11">
        <f>IFERROR(AVERAGE(E10:E13),"")</f>
        <v/>
      </c>
      <c r="F39" s="11">
        <f>IFERROR(AVERAGE(F10:F13),"")</f>
        <v/>
      </c>
      <c r="G39" s="12">
        <f>IFERROR(AVERAGE(G10:G13),"")</f>
        <v/>
      </c>
    </row>
    <row r="40">
      <c r="B40" s="10" t="inlineStr">
        <is>
          <t>Reconocimiento</t>
        </is>
      </c>
      <c r="E40" s="11">
        <f>IFERROR(AVERAGE(E14:E17),"")</f>
        <v/>
      </c>
      <c r="F40" s="11">
        <f>IFERROR(AVERAGE(F14:F17),"")</f>
        <v/>
      </c>
      <c r="G40" s="12">
        <f>IFERROR(AVERAGE(G14:G17),"")</f>
        <v/>
      </c>
    </row>
    <row r="41">
      <c r="B41" s="10" t="inlineStr">
        <is>
          <t>Carga y organización del trabajo</t>
        </is>
      </c>
      <c r="E41" s="11">
        <f>IFERROR(AVERAGE(E18:E21),"")</f>
        <v/>
      </c>
      <c r="F41" s="11">
        <f>IFERROR(AVERAGE(F18:F21),"")</f>
        <v/>
      </c>
      <c r="G41" s="12">
        <f>IFERROR(AVERAGE(G18:G21),"")</f>
        <v/>
      </c>
    </row>
    <row r="42">
      <c r="B42" s="10" t="inlineStr">
        <is>
          <t>Condiciones y recursos</t>
        </is>
      </c>
      <c r="E42" s="11">
        <f>IFERROR(AVERAGE(E22:E25),"")</f>
        <v/>
      </c>
      <c r="F42" s="11">
        <f>IFERROR(AVERAGE(F22:F25),"")</f>
        <v/>
      </c>
      <c r="G42" s="12">
        <f>IFERROR(AVERAGE(G22:G25),"")</f>
        <v/>
      </c>
    </row>
    <row r="43">
      <c r="B43" s="10" t="inlineStr">
        <is>
          <t>Claridad del rol y desarrollo</t>
        </is>
      </c>
      <c r="E43" s="11">
        <f>IFERROR(AVERAGE(E26:E29),"")</f>
        <v/>
      </c>
      <c r="F43" s="11">
        <f>IFERROR(AVERAGE(F26:F29),"")</f>
        <v/>
      </c>
      <c r="G43" s="12">
        <f>IFERROR(AVERAGE(G26:G29),"")</f>
        <v/>
      </c>
    </row>
    <row r="44">
      <c r="B44" s="10" t="inlineStr">
        <is>
          <t>Compromiso y pertenencia</t>
        </is>
      </c>
      <c r="E44" s="11">
        <f>IFERROR(AVERAGE(E30:E33),"")</f>
        <v/>
      </c>
      <c r="F44" s="11">
        <f>IFERROR(AVERAGE(F30:F33),"")</f>
        <v/>
      </c>
      <c r="G44" s="12">
        <f>IFERROR(AVERAGE(G30:G33),"")</f>
        <v/>
      </c>
    </row>
    <row r="46">
      <c r="B46" s="2" t="inlineStr">
        <is>
          <t>% favorable = respuestas 4 y 5 ÷ total. En las afirmaciones inversas (I), favorable = respuestas 1 y 2.</t>
        </is>
      </c>
    </row>
  </sheetData>
  <conditionalFormatting sqref="E37:E44">
    <cfRule type="colorScale" priority="1">
      <colorScale>
        <cfvo type="num" val="0.4"/>
        <cfvo type="num" val="0.6"/>
        <cfvo type="num" val="0.8"/>
        <color rgb="00F4C7A1"/>
        <color rgb="00FFFFFF"/>
        <color rgb="00B7DED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2026-09-28T00:46:28Z</dcterms:created>
  <dcterms:modified xmlns:dcterms="http://purl.org/dc/terms/" xmlns:xsi="http://www.w3.org/2001/XMLSchema-instance" xsi:type="dcterms:W3CDTF">2026-09-28T00:46:28Z</dcterms:modified>
</cp:coreProperties>
</file>